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2026_업무\151_에기평카르노[총괄]2\502_ESS믹스\"/>
    </mc:Choice>
  </mc:AlternateContent>
  <xr:revisionPtr revIDLastSave="0" documentId="13_ncr:1_{A7F82597-9402-4BA6-A2BB-7B55461CDC3D}" xr6:coauthVersionLast="47" xr6:coauthVersionMax="47" xr10:uidLastSave="{00000000-0000-0000-0000-000000000000}"/>
  <bookViews>
    <workbookView xWindow="2080" yWindow="3350" windowWidth="38400" windowHeight="15370" tabRatio="930" activeTab="1" xr2:uid="{C21FB229-6237-45EF-BB3A-44157E74598B}"/>
  </bookViews>
  <sheets>
    <sheet name="Introduction" sheetId="1" r:id="rId1"/>
    <sheet name="LCOS Calculator" sheetId="3" r:id="rId2"/>
    <sheet name="Terms &amp; Abbreviations" sheetId="7" r:id="rId3"/>
    <sheet name="Assumptions &amp; Parameters" sheetId="5" r:id="rId4"/>
  </sheets>
  <definedNames>
    <definedName name="analysis_period">'Assumptions &amp; Parameters'!$J$20</definedName>
    <definedName name="bidirectional_inverter_efficiency">'Assumptions &amp; Parameters'!$J$25</definedName>
    <definedName name="bidirectional_transformer_efficiency">'Assumptions &amp; Parameters'!$J$28</definedName>
    <definedName name="cost_of_equity_nominal">'Assumptions &amp; Parameters'!$J$11</definedName>
    <definedName name="cost_of_equity_real">'Assumptions &amp; Parameters'!$J$12</definedName>
    <definedName name="CRF_real">'LCOS Calculator'!$G$167</definedName>
    <definedName name="debt_fraction">'Assumptions &amp; Parameters'!$J$13</definedName>
    <definedName name="electricity_cost">'Assumptions &amp; Parameters'!$J$19</definedName>
    <definedName name="inflation_rate">'Assumptions &amp; Parameters'!$J$8</definedName>
    <definedName name="insurance">'Assumptions &amp; Parameters'!$J$16</definedName>
    <definedName name="interest_rate_nominal">'Assumptions &amp; Parameters'!$J$9</definedName>
    <definedName name="interest_rate_real">'Assumptions &amp; Parameters'!$J$10</definedName>
    <definedName name="ITC">'LCOS Calculator'!$G$163</definedName>
    <definedName name="property_tax">'Assumptions &amp; Parameters'!$J$15</definedName>
    <definedName name="PVD">'LCOS Calculator'!$G$164</definedName>
    <definedName name="rectifier_efficiency">'Assumptions &amp; Parameters'!$J$27</definedName>
    <definedName name="tax_rate">'Assumptions &amp; Parameters'!$J$14</definedName>
    <definedName name="unidirectional_inverter_efficiency">'Assumptions &amp; Parameters'!$J$26</definedName>
    <definedName name="WACC_nominal">'Assumptions &amp; Parameters'!$J$17</definedName>
    <definedName name="WACC_real">'Assumptions &amp; Parameters'!$J$18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3" i="3" l="1"/>
  <c r="D60" i="3"/>
  <c r="G162" i="3" l="1"/>
  <c r="G161" i="3"/>
  <c r="G160" i="3"/>
  <c r="G167" i="3"/>
  <c r="Y216" i="3"/>
  <c r="Z216" i="3"/>
  <c r="AA216" i="3"/>
  <c r="AB216" i="3"/>
  <c r="AC216" i="3"/>
  <c r="AD216" i="3"/>
  <c r="AE216" i="3"/>
  <c r="AF216" i="3"/>
  <c r="AG216" i="3"/>
  <c r="AH216" i="3"/>
  <c r="AI216" i="3"/>
  <c r="AJ216" i="3"/>
  <c r="AK216" i="3"/>
  <c r="AL216" i="3"/>
  <c r="AM216" i="3"/>
  <c r="AN216" i="3"/>
  <c r="AO216" i="3"/>
  <c r="AP216" i="3"/>
  <c r="AQ216" i="3"/>
  <c r="AR216" i="3"/>
  <c r="AS216" i="3"/>
  <c r="AT216" i="3"/>
  <c r="AU216" i="3"/>
  <c r="AV216" i="3"/>
  <c r="AW216" i="3"/>
  <c r="AX216" i="3"/>
  <c r="AY216" i="3"/>
  <c r="AZ216" i="3"/>
  <c r="BA216" i="3"/>
  <c r="BB216" i="3"/>
  <c r="BC216" i="3"/>
  <c r="BD216" i="3"/>
  <c r="BE216" i="3"/>
  <c r="BF216" i="3"/>
  <c r="BG216" i="3"/>
  <c r="BH216" i="3"/>
  <c r="BI216" i="3"/>
  <c r="BJ216" i="3"/>
  <c r="BK216" i="3"/>
  <c r="BL216" i="3"/>
  <c r="Y217" i="3"/>
  <c r="Z217" i="3"/>
  <c r="AA217" i="3"/>
  <c r="AB217" i="3"/>
  <c r="AC217" i="3"/>
  <c r="AD217" i="3"/>
  <c r="AE217" i="3"/>
  <c r="AF217" i="3"/>
  <c r="AG217" i="3"/>
  <c r="AH217" i="3"/>
  <c r="AI217" i="3"/>
  <c r="AJ217" i="3"/>
  <c r="AK217" i="3"/>
  <c r="AL217" i="3"/>
  <c r="AM217" i="3"/>
  <c r="AN217" i="3"/>
  <c r="AO217" i="3"/>
  <c r="AP217" i="3"/>
  <c r="AQ217" i="3"/>
  <c r="AR217" i="3"/>
  <c r="AS217" i="3"/>
  <c r="AT217" i="3"/>
  <c r="AU217" i="3"/>
  <c r="AV217" i="3"/>
  <c r="AW217" i="3"/>
  <c r="AX217" i="3"/>
  <c r="AY217" i="3"/>
  <c r="AZ217" i="3"/>
  <c r="BA217" i="3"/>
  <c r="BB217" i="3"/>
  <c r="BC217" i="3"/>
  <c r="BD217" i="3"/>
  <c r="BE217" i="3"/>
  <c r="BF217" i="3"/>
  <c r="BG217" i="3"/>
  <c r="BH217" i="3"/>
  <c r="BI217" i="3"/>
  <c r="BJ217" i="3"/>
  <c r="BK217" i="3"/>
  <c r="BL217" i="3"/>
  <c r="Y212" i="3"/>
  <c r="Z212" i="3"/>
  <c r="AA212" i="3"/>
  <c r="AB212" i="3"/>
  <c r="AC212" i="3"/>
  <c r="AD212" i="3"/>
  <c r="AE212" i="3"/>
  <c r="AF212" i="3"/>
  <c r="AG212" i="3"/>
  <c r="AH212" i="3"/>
  <c r="AI212" i="3"/>
  <c r="AJ212" i="3"/>
  <c r="AK212" i="3"/>
  <c r="AL212" i="3"/>
  <c r="AM212" i="3"/>
  <c r="AN212" i="3"/>
  <c r="AO212" i="3"/>
  <c r="AP212" i="3"/>
  <c r="AQ212" i="3"/>
  <c r="AR212" i="3"/>
  <c r="AS212" i="3"/>
  <c r="AT212" i="3"/>
  <c r="AU212" i="3"/>
  <c r="AV212" i="3"/>
  <c r="AW212" i="3"/>
  <c r="AX212" i="3"/>
  <c r="AY212" i="3"/>
  <c r="AZ212" i="3"/>
  <c r="BA212" i="3"/>
  <c r="BB212" i="3"/>
  <c r="BC212" i="3"/>
  <c r="BD212" i="3"/>
  <c r="BE212" i="3"/>
  <c r="BF212" i="3"/>
  <c r="BG212" i="3"/>
  <c r="BH212" i="3"/>
  <c r="BI212" i="3"/>
  <c r="BJ212" i="3"/>
  <c r="BK212" i="3"/>
  <c r="BL212" i="3"/>
  <c r="Y213" i="3"/>
  <c r="Z213" i="3"/>
  <c r="AA213" i="3"/>
  <c r="AB213" i="3"/>
  <c r="AC213" i="3"/>
  <c r="AD213" i="3"/>
  <c r="AE213" i="3"/>
  <c r="AF213" i="3"/>
  <c r="AG213" i="3"/>
  <c r="AH213" i="3"/>
  <c r="AI213" i="3"/>
  <c r="AJ213" i="3"/>
  <c r="AK213" i="3"/>
  <c r="AL213" i="3"/>
  <c r="AM213" i="3"/>
  <c r="AN213" i="3"/>
  <c r="AO213" i="3"/>
  <c r="AP213" i="3"/>
  <c r="AQ213" i="3"/>
  <c r="AR213" i="3"/>
  <c r="AS213" i="3"/>
  <c r="AT213" i="3"/>
  <c r="AU213" i="3"/>
  <c r="AV213" i="3"/>
  <c r="AW213" i="3"/>
  <c r="AX213" i="3"/>
  <c r="AY213" i="3"/>
  <c r="AZ213" i="3"/>
  <c r="BA213" i="3"/>
  <c r="BB213" i="3"/>
  <c r="BC213" i="3"/>
  <c r="BD213" i="3"/>
  <c r="BE213" i="3"/>
  <c r="BF213" i="3"/>
  <c r="BG213" i="3"/>
  <c r="BH213" i="3"/>
  <c r="BI213" i="3"/>
  <c r="BJ213" i="3"/>
  <c r="BK213" i="3"/>
  <c r="BL213" i="3"/>
  <c r="J18" i="5"/>
  <c r="I99" i="3"/>
  <c r="D139" i="3"/>
  <c r="BL88" i="3"/>
  <c r="BK88" i="3"/>
  <c r="BJ88" i="3"/>
  <c r="BI88" i="3"/>
  <c r="BH88" i="3"/>
  <c r="BG88" i="3"/>
  <c r="BF88" i="3"/>
  <c r="BE88" i="3"/>
  <c r="BD88" i="3"/>
  <c r="BC88" i="3"/>
  <c r="BB88" i="3"/>
  <c r="BA88" i="3"/>
  <c r="AZ88" i="3"/>
  <c r="AY88" i="3"/>
  <c r="AX88" i="3"/>
  <c r="AW88" i="3"/>
  <c r="AV88" i="3"/>
  <c r="AU88" i="3"/>
  <c r="AT88" i="3"/>
  <c r="AS88" i="3"/>
  <c r="AR88" i="3"/>
  <c r="AQ88" i="3"/>
  <c r="AP88" i="3"/>
  <c r="AO88" i="3"/>
  <c r="AN88" i="3"/>
  <c r="AM88" i="3"/>
  <c r="AL88"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J88" i="3"/>
  <c r="I88" i="3"/>
  <c r="H88" i="3"/>
  <c r="G194" i="3" s="1"/>
  <c r="G195" i="3" s="1"/>
  <c r="E213" i="3" s="1"/>
  <c r="G88" i="3"/>
  <c r="F88" i="3"/>
  <c r="E88" i="3"/>
  <c r="AP50" i="3"/>
  <c r="AQ50" i="3"/>
  <c r="AR50" i="3"/>
  <c r="AS50" i="3"/>
  <c r="AT50" i="3"/>
  <c r="AU50" i="3"/>
  <c r="AV50" i="3"/>
  <c r="AW50" i="3"/>
  <c r="AX50" i="3"/>
  <c r="AY50" i="3"/>
  <c r="AZ50" i="3"/>
  <c r="BA50" i="3"/>
  <c r="BB50" i="3"/>
  <c r="BC50" i="3"/>
  <c r="BD50" i="3"/>
  <c r="BE50" i="3"/>
  <c r="BF50" i="3"/>
  <c r="BG50" i="3"/>
  <c r="BH50" i="3"/>
  <c r="BI50" i="3"/>
  <c r="BJ50" i="3"/>
  <c r="BK50" i="3"/>
  <c r="BL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AK50" i="3"/>
  <c r="AL50" i="3"/>
  <c r="AM50" i="3"/>
  <c r="AN50" i="3"/>
  <c r="AO50" i="3"/>
  <c r="E50" i="3"/>
  <c r="G190" i="3" l="1"/>
  <c r="G191" i="3" s="1"/>
  <c r="E212" i="3" s="1"/>
  <c r="R213" i="3"/>
  <c r="W213" i="3"/>
  <c r="K213" i="3"/>
  <c r="V213" i="3"/>
  <c r="J213" i="3"/>
  <c r="Q213" i="3"/>
  <c r="P213" i="3"/>
  <c r="O213" i="3"/>
  <c r="X213" i="3"/>
  <c r="L213" i="3"/>
  <c r="U213" i="3"/>
  <c r="I213" i="3"/>
  <c r="F213" i="3"/>
  <c r="N213" i="3"/>
  <c r="M213" i="3"/>
  <c r="T213" i="3"/>
  <c r="H213" i="3"/>
  <c r="S213" i="3"/>
  <c r="G213" i="3"/>
  <c r="D90" i="3"/>
  <c r="D52" i="3"/>
  <c r="U212" i="3" l="1"/>
  <c r="Q212" i="3"/>
  <c r="J212" i="3"/>
  <c r="O212" i="3"/>
  <c r="G212" i="3"/>
  <c r="H212" i="3"/>
  <c r="F212" i="3"/>
  <c r="V212" i="3"/>
  <c r="W212" i="3"/>
  <c r="S212" i="3"/>
  <c r="X212" i="3"/>
  <c r="K212" i="3"/>
  <c r="L212" i="3"/>
  <c r="P212" i="3"/>
  <c r="M212" i="3"/>
  <c r="R212" i="3"/>
  <c r="T212" i="3"/>
  <c r="I212" i="3"/>
  <c r="N212" i="3"/>
  <c r="G55" i="5"/>
  <c r="J17" i="5"/>
  <c r="I101" i="3"/>
  <c r="I97" i="3"/>
  <c r="I98" i="3"/>
  <c r="I100" i="3" s="1"/>
  <c r="G165" i="3" l="1"/>
  <c r="G166" i="3" s="1"/>
  <c r="G171" i="3" l="1"/>
  <c r="G159" i="3"/>
  <c r="G164" i="3" s="1"/>
  <c r="I102" i="3" l="1"/>
  <c r="E22" i="3"/>
  <c r="J10" i="5"/>
  <c r="J12" i="5"/>
  <c r="H55" i="5"/>
  <c r="I55" i="5"/>
  <c r="I104" i="3" l="1"/>
  <c r="J55" i="5"/>
  <c r="F55" i="5"/>
  <c r="G163" i="3"/>
  <c r="G168" i="3" s="1"/>
  <c r="G172" i="3" s="1"/>
  <c r="E72" i="3"/>
  <c r="BC72" i="3"/>
  <c r="BD72" i="3"/>
  <c r="BF72" i="3"/>
  <c r="BG72" i="3"/>
  <c r="BH72" i="3"/>
  <c r="BJ72" i="3"/>
  <c r="BI72" i="3"/>
  <c r="BK72" i="3"/>
  <c r="BL72" i="3"/>
  <c r="BE72" i="3"/>
  <c r="BB72" i="3"/>
  <c r="K72" i="3"/>
  <c r="W72" i="3"/>
  <c r="AM72" i="3"/>
  <c r="AN72" i="3"/>
  <c r="N72" i="3"/>
  <c r="Z72" i="3"/>
  <c r="L72" i="3"/>
  <c r="M72" i="3"/>
  <c r="Y72" i="3"/>
  <c r="AA72" i="3"/>
  <c r="AQ72" i="3"/>
  <c r="P72" i="3"/>
  <c r="AB72" i="3"/>
  <c r="AR72" i="3"/>
  <c r="AC72" i="3"/>
  <c r="R72" i="3"/>
  <c r="AD72" i="3"/>
  <c r="AT72" i="3"/>
  <c r="AW72" i="3"/>
  <c r="S72" i="3"/>
  <c r="AE72" i="3"/>
  <c r="AU72" i="3"/>
  <c r="AO72" i="3"/>
  <c r="AS72" i="3"/>
  <c r="AF72" i="3"/>
  <c r="AV72" i="3"/>
  <c r="AP72" i="3"/>
  <c r="AG72" i="3"/>
  <c r="Q72" i="3"/>
  <c r="F72" i="3"/>
  <c r="AH72" i="3"/>
  <c r="AX72" i="3"/>
  <c r="U72" i="3"/>
  <c r="G72" i="3"/>
  <c r="AI72" i="3"/>
  <c r="AY72" i="3"/>
  <c r="AK72" i="3"/>
  <c r="H72" i="3"/>
  <c r="T72" i="3"/>
  <c r="AJ72" i="3"/>
  <c r="AZ72" i="3"/>
  <c r="BA72" i="3"/>
  <c r="J72" i="3"/>
  <c r="V72" i="3"/>
  <c r="AL72" i="3"/>
  <c r="X72" i="3"/>
  <c r="I72" i="3"/>
  <c r="E55" i="5"/>
  <c r="O72" i="3"/>
  <c r="G198" i="3" l="1"/>
  <c r="G199" i="3" s="1"/>
  <c r="E211" i="3" s="1"/>
  <c r="I105" i="3"/>
  <c r="BC207" i="3"/>
  <c r="BD207" i="3"/>
  <c r="BG207" i="3"/>
  <c r="BH207" i="3"/>
  <c r="BE207" i="3"/>
  <c r="BI207" i="3"/>
  <c r="BJ207" i="3"/>
  <c r="BK207" i="3"/>
  <c r="BL207" i="3"/>
  <c r="BF207" i="3"/>
  <c r="U207" i="3"/>
  <c r="X207" i="3"/>
  <c r="AA207" i="3"/>
  <c r="AD207" i="3"/>
  <c r="AG207" i="3"/>
  <c r="AJ207" i="3"/>
  <c r="AM207" i="3"/>
  <c r="AP207" i="3"/>
  <c r="AS207" i="3"/>
  <c r="AV207" i="3"/>
  <c r="AY207" i="3"/>
  <c r="BB207" i="3"/>
  <c r="V207" i="3"/>
  <c r="Y207" i="3"/>
  <c r="AB207" i="3"/>
  <c r="AE207" i="3"/>
  <c r="AH207" i="3"/>
  <c r="AK207" i="3"/>
  <c r="AN207" i="3"/>
  <c r="AQ207" i="3"/>
  <c r="AT207" i="3"/>
  <c r="AW207" i="3"/>
  <c r="AZ207" i="3"/>
  <c r="Z207" i="3"/>
  <c r="AO207" i="3"/>
  <c r="AX207" i="3"/>
  <c r="W207" i="3"/>
  <c r="AF207" i="3"/>
  <c r="AL207" i="3"/>
  <c r="AU207" i="3"/>
  <c r="T207" i="3"/>
  <c r="AI207" i="3"/>
  <c r="AR207" i="3"/>
  <c r="BA207" i="3"/>
  <c r="AC207" i="3"/>
  <c r="D74" i="3"/>
  <c r="I106" i="3" l="1"/>
  <c r="G60" i="3"/>
  <c r="K113" i="3"/>
  <c r="K120" i="3" s="1"/>
  <c r="K121" i="3" s="1"/>
  <c r="M113" i="3"/>
  <c r="M114" i="3" s="1"/>
  <c r="F113" i="3"/>
  <c r="F123" i="3" s="1"/>
  <c r="F124" i="3" s="1"/>
  <c r="Q113" i="3"/>
  <c r="Q114" i="3" s="1"/>
  <c r="L113" i="3"/>
  <c r="L129" i="3" s="1"/>
  <c r="L130" i="3" s="1"/>
  <c r="O113" i="3"/>
  <c r="O123" i="3" s="1"/>
  <c r="O124" i="3" s="1"/>
  <c r="E113" i="3"/>
  <c r="X113" i="3"/>
  <c r="X123" i="3" s="1"/>
  <c r="X124" i="3" s="1"/>
  <c r="U113" i="3"/>
  <c r="U114" i="3" s="1"/>
  <c r="BI211" i="3"/>
  <c r="BJ211" i="3"/>
  <c r="BL211" i="3"/>
  <c r="BK211" i="3"/>
  <c r="BD211" i="3"/>
  <c r="BC211" i="3"/>
  <c r="BE211" i="3"/>
  <c r="BF211" i="3"/>
  <c r="BG211" i="3"/>
  <c r="BH211" i="3"/>
  <c r="H211" i="3"/>
  <c r="AD211" i="3"/>
  <c r="AP211" i="3"/>
  <c r="AV211" i="3"/>
  <c r="BB211" i="3"/>
  <c r="U211" i="3"/>
  <c r="X211" i="3"/>
  <c r="AA211" i="3"/>
  <c r="AG211" i="3"/>
  <c r="AJ211" i="3"/>
  <c r="AM211" i="3"/>
  <c r="AS211" i="3"/>
  <c r="AY211" i="3"/>
  <c r="T211" i="3"/>
  <c r="Z211" i="3"/>
  <c r="AF211" i="3"/>
  <c r="AO211" i="3"/>
  <c r="AU211" i="3"/>
  <c r="BA211" i="3"/>
  <c r="W211" i="3"/>
  <c r="AC211" i="3"/>
  <c r="AI211" i="3"/>
  <c r="AR211" i="3"/>
  <c r="AX211" i="3"/>
  <c r="V211" i="3"/>
  <c r="Y211" i="3"/>
  <c r="AB211" i="3"/>
  <c r="AE211" i="3"/>
  <c r="AH211" i="3"/>
  <c r="AK211" i="3"/>
  <c r="AN211" i="3"/>
  <c r="AQ211" i="3"/>
  <c r="AT211" i="3"/>
  <c r="AW211" i="3"/>
  <c r="AZ211" i="3"/>
  <c r="AL211" i="3"/>
  <c r="F207" i="3"/>
  <c r="N211" i="3"/>
  <c r="J211" i="3"/>
  <c r="G211" i="3"/>
  <c r="L211" i="3"/>
  <c r="M211" i="3"/>
  <c r="O211" i="3"/>
  <c r="S211" i="3"/>
  <c r="I211" i="3"/>
  <c r="Q211" i="3"/>
  <c r="R211" i="3"/>
  <c r="K211" i="3"/>
  <c r="F211" i="3"/>
  <c r="P211" i="3"/>
  <c r="BD113" i="3" l="1"/>
  <c r="AT113" i="3"/>
  <c r="AS113" i="3"/>
  <c r="BG113" i="3"/>
  <c r="BC113" i="3"/>
  <c r="AJ113" i="3"/>
  <c r="AW113" i="3"/>
  <c r="AU113" i="3"/>
  <c r="AM113" i="3"/>
  <c r="AL113" i="3"/>
  <c r="AG113" i="3"/>
  <c r="AV113" i="3"/>
  <c r="BB113" i="3"/>
  <c r="AI113" i="3"/>
  <c r="BH113" i="3"/>
  <c r="BF113" i="3"/>
  <c r="BJ113" i="3"/>
  <c r="AK113" i="3"/>
  <c r="AP113" i="3"/>
  <c r="AZ113" i="3"/>
  <c r="AN113" i="3"/>
  <c r="AY113" i="3"/>
  <c r="AH113" i="3"/>
  <c r="BI113" i="3"/>
  <c r="AO113" i="3"/>
  <c r="BA113" i="3"/>
  <c r="AR113" i="3"/>
  <c r="AX113" i="3"/>
  <c r="AQ113" i="3"/>
  <c r="BK113" i="3"/>
  <c r="BE113" i="3"/>
  <c r="BL113" i="3"/>
  <c r="X120" i="3"/>
  <c r="X121" i="3" s="1"/>
  <c r="X132" i="3"/>
  <c r="X133" i="3" s="1"/>
  <c r="AF113" i="3"/>
  <c r="AA113" i="3"/>
  <c r="Y113" i="3"/>
  <c r="AB113" i="3"/>
  <c r="AE113" i="3"/>
  <c r="Z113" i="3"/>
  <c r="AD113" i="3"/>
  <c r="AC113" i="3"/>
  <c r="I113" i="3"/>
  <c r="G113" i="3"/>
  <c r="J113" i="3"/>
  <c r="S113" i="3"/>
  <c r="P113" i="3"/>
  <c r="R113" i="3"/>
  <c r="H113" i="3"/>
  <c r="W113" i="3"/>
  <c r="V113" i="3"/>
  <c r="N113" i="3"/>
  <c r="T113" i="3"/>
  <c r="Q120" i="3"/>
  <c r="Q121" i="3" s="1"/>
  <c r="K132" i="3"/>
  <c r="K133" i="3" s="1"/>
  <c r="Q132" i="3"/>
  <c r="Q133" i="3" s="1"/>
  <c r="K129" i="3"/>
  <c r="K130" i="3" s="1"/>
  <c r="U132" i="3"/>
  <c r="U133" i="3" s="1"/>
  <c r="U120" i="3"/>
  <c r="U121" i="3" s="1"/>
  <c r="U123" i="3"/>
  <c r="U124" i="3" s="1"/>
  <c r="F114" i="3"/>
  <c r="Q129" i="3"/>
  <c r="Q130" i="3" s="1"/>
  <c r="F120" i="3"/>
  <c r="F121" i="3" s="1"/>
  <c r="M123" i="3"/>
  <c r="M124" i="3" s="1"/>
  <c r="K123" i="3"/>
  <c r="K124" i="3" s="1"/>
  <c r="K114" i="3"/>
  <c r="Q123" i="3"/>
  <c r="Q124" i="3" s="1"/>
  <c r="F132" i="3"/>
  <c r="F133" i="3" s="1"/>
  <c r="F129" i="3"/>
  <c r="F130" i="3" s="1"/>
  <c r="O120" i="3"/>
  <c r="O121" i="3" s="1"/>
  <c r="L123" i="3"/>
  <c r="L124" i="3" s="1"/>
  <c r="M120" i="3"/>
  <c r="M121" i="3" s="1"/>
  <c r="U129" i="3"/>
  <c r="U130" i="3" s="1"/>
  <c r="O132" i="3"/>
  <c r="O133" i="3" s="1"/>
  <c r="L120" i="3"/>
  <c r="L121" i="3" s="1"/>
  <c r="M132" i="3"/>
  <c r="M133" i="3" s="1"/>
  <c r="X129" i="3"/>
  <c r="X130" i="3" s="1"/>
  <c r="L114" i="3"/>
  <c r="O114" i="3"/>
  <c r="O129" i="3"/>
  <c r="O130" i="3" s="1"/>
  <c r="L132" i="3"/>
  <c r="L133" i="3" s="1"/>
  <c r="M129" i="3"/>
  <c r="M130" i="3" s="1"/>
  <c r="E114" i="3"/>
  <c r="X114" i="3"/>
  <c r="E123" i="3"/>
  <c r="E124" i="3" s="1"/>
  <c r="E132" i="3"/>
  <c r="E133" i="3" s="1"/>
  <c r="E129" i="3"/>
  <c r="E130" i="3" s="1"/>
  <c r="E120" i="3"/>
  <c r="E139" i="3" s="1"/>
  <c r="J207" i="3"/>
  <c r="K207" i="3"/>
  <c r="I207" i="3"/>
  <c r="E207" i="3"/>
  <c r="G207" i="3"/>
  <c r="P207" i="3"/>
  <c r="M207" i="3"/>
  <c r="N207" i="3"/>
  <c r="R207" i="3"/>
  <c r="Q207" i="3"/>
  <c r="H207" i="3"/>
  <c r="O207" i="3"/>
  <c r="S207" i="3"/>
  <c r="L207" i="3"/>
  <c r="BI120" i="3" l="1"/>
  <c r="BI121" i="3" s="1"/>
  <c r="BI123" i="3"/>
  <c r="BI124" i="3" s="1"/>
  <c r="BI114" i="3"/>
  <c r="BI132" i="3"/>
  <c r="BI133" i="3" s="1"/>
  <c r="BI129" i="3"/>
  <c r="BI130" i="3" s="1"/>
  <c r="AY114" i="3"/>
  <c r="AY132" i="3"/>
  <c r="AY133" i="3" s="1"/>
  <c r="AY120" i="3"/>
  <c r="AY129" i="3"/>
  <c r="AY130" i="3" s="1"/>
  <c r="AY123" i="3"/>
  <c r="AY124" i="3" s="1"/>
  <c r="AY121" i="3"/>
  <c r="BJ132" i="3"/>
  <c r="BJ133" i="3" s="1"/>
  <c r="BJ120" i="3"/>
  <c r="BJ129" i="3"/>
  <c r="BJ130" i="3" s="1"/>
  <c r="BJ114" i="3"/>
  <c r="BJ123" i="3"/>
  <c r="BJ124" i="3" s="1"/>
  <c r="AX129" i="3"/>
  <c r="AX130" i="3" s="1"/>
  <c r="AX132" i="3"/>
  <c r="AX133" i="3" s="1"/>
  <c r="AX120" i="3"/>
  <c r="AX121" i="3" s="1"/>
  <c r="AX114" i="3"/>
  <c r="AX123" i="3"/>
  <c r="AX124" i="3" s="1"/>
  <c r="BA129" i="3"/>
  <c r="BA130" i="3" s="1"/>
  <c r="BA123" i="3"/>
  <c r="BA124" i="3" s="1"/>
  <c r="BA114" i="3"/>
  <c r="BA120" i="3"/>
  <c r="BA121" i="3" s="1"/>
  <c r="BA132" i="3"/>
  <c r="BA133" i="3" s="1"/>
  <c r="AI114" i="3"/>
  <c r="AI132" i="3"/>
  <c r="AI133" i="3" s="1"/>
  <c r="AI120" i="3"/>
  <c r="AI123" i="3"/>
  <c r="AI124" i="3" s="1"/>
  <c r="AI129" i="3"/>
  <c r="AI130" i="3" s="1"/>
  <c r="AH120" i="3"/>
  <c r="AH123" i="3"/>
  <c r="AH124" i="3" s="1"/>
  <c r="AH129" i="3"/>
  <c r="AH130" i="3" s="1"/>
  <c r="AH132" i="3"/>
  <c r="AH133" i="3" s="1"/>
  <c r="AH114" i="3"/>
  <c r="AH141" i="3"/>
  <c r="AH142" i="3" s="1"/>
  <c r="BC114" i="3"/>
  <c r="BC132" i="3"/>
  <c r="BC133" i="3" s="1"/>
  <c r="BC129" i="3"/>
  <c r="BC130" i="3" s="1"/>
  <c r="BC123" i="3"/>
  <c r="BC124" i="3" s="1"/>
  <c r="BC120" i="3"/>
  <c r="AO114" i="3"/>
  <c r="AO132" i="3"/>
  <c r="AO133" i="3" s="1"/>
  <c r="AO120" i="3"/>
  <c r="AO129" i="3"/>
  <c r="AO130" i="3" s="1"/>
  <c r="AO123" i="3"/>
  <c r="AO124" i="3" s="1"/>
  <c r="AZ132" i="3"/>
  <c r="AZ133" i="3" s="1"/>
  <c r="AZ120" i="3"/>
  <c r="AZ121" i="3" s="1"/>
  <c r="AZ123" i="3"/>
  <c r="AZ124" i="3" s="1"/>
  <c r="AZ114" i="3"/>
  <c r="AZ129" i="3"/>
  <c r="AZ130" i="3" s="1"/>
  <c r="AZ141" i="3"/>
  <c r="AZ142" i="3" s="1"/>
  <c r="BH132" i="3"/>
  <c r="BH133" i="3" s="1"/>
  <c r="BH120" i="3"/>
  <c r="BH121" i="3" s="1"/>
  <c r="BH129" i="3"/>
  <c r="BH130" i="3" s="1"/>
  <c r="BH114" i="3"/>
  <c r="BH123" i="3"/>
  <c r="BH124" i="3" s="1"/>
  <c r="AM132" i="3"/>
  <c r="AM133" i="3" s="1"/>
  <c r="AM123" i="3"/>
  <c r="AM124" i="3" s="1"/>
  <c r="AM129" i="3"/>
  <c r="AM130" i="3" s="1"/>
  <c r="AM120" i="3"/>
  <c r="AM141" i="3" s="1"/>
  <c r="AM142" i="3" s="1"/>
  <c r="AM139" i="3"/>
  <c r="AM140" i="3" s="1"/>
  <c r="AM114" i="3"/>
  <c r="AW132" i="3"/>
  <c r="AW133" i="3" s="1"/>
  <c r="AW120" i="3"/>
  <c r="AW114" i="3"/>
  <c r="AW123" i="3"/>
  <c r="AW124" i="3" s="1"/>
  <c r="AW129" i="3"/>
  <c r="AW130" i="3" s="1"/>
  <c r="BL123" i="3"/>
  <c r="BL124" i="3" s="1"/>
  <c r="BL120" i="3"/>
  <c r="BL114" i="3"/>
  <c r="BL129" i="3"/>
  <c r="BL130" i="3" s="1"/>
  <c r="BL132" i="3"/>
  <c r="BL133" i="3" s="1"/>
  <c r="BG120" i="3"/>
  <c r="BG121" i="3" s="1"/>
  <c r="BG132" i="3"/>
  <c r="BG133" i="3" s="1"/>
  <c r="BG129" i="3"/>
  <c r="BG130" i="3" s="1"/>
  <c r="BG123" i="3"/>
  <c r="BG124" i="3" s="1"/>
  <c r="BG114" i="3"/>
  <c r="BG139" i="3"/>
  <c r="BG140" i="3" s="1"/>
  <c r="AR129" i="3"/>
  <c r="AR130" i="3" s="1"/>
  <c r="AR132" i="3"/>
  <c r="AR133" i="3" s="1"/>
  <c r="AR123" i="3"/>
  <c r="AR124" i="3" s="1"/>
  <c r="AR120" i="3"/>
  <c r="AR121" i="3" s="1"/>
  <c r="AR114" i="3"/>
  <c r="AV129" i="3"/>
  <c r="AV130" i="3" s="1"/>
  <c r="AV132" i="3"/>
  <c r="AV133" i="3" s="1"/>
  <c r="AV114" i="3"/>
  <c r="AV120" i="3"/>
  <c r="AV121" i="3" s="1"/>
  <c r="AV123" i="3"/>
  <c r="AV124" i="3" s="1"/>
  <c r="AG114" i="3"/>
  <c r="AG132" i="3"/>
  <c r="AG133" i="3" s="1"/>
  <c r="AG123" i="3"/>
  <c r="AG124" i="3" s="1"/>
  <c r="AG129" i="3"/>
  <c r="AG130" i="3" s="1"/>
  <c r="AG120" i="3"/>
  <c r="AG141" i="3" s="1"/>
  <c r="AG142" i="3" s="1"/>
  <c r="AU123" i="3"/>
  <c r="AU124" i="3" s="1"/>
  <c r="AU132" i="3"/>
  <c r="AU133" i="3" s="1"/>
  <c r="AU129" i="3"/>
  <c r="AU130" i="3" s="1"/>
  <c r="AU114" i="3"/>
  <c r="AU120" i="3"/>
  <c r="AU121" i="3" s="1"/>
  <c r="AU139" i="3"/>
  <c r="AU140" i="3" s="1"/>
  <c r="BE120" i="3"/>
  <c r="BE121" i="3" s="1"/>
  <c r="BE129" i="3"/>
  <c r="BE130" i="3" s="1"/>
  <c r="BE114" i="3"/>
  <c r="BE123" i="3"/>
  <c r="BE124" i="3" s="1"/>
  <c r="BE132" i="3"/>
  <c r="BE133" i="3" s="1"/>
  <c r="AS129" i="3"/>
  <c r="AS130" i="3" s="1"/>
  <c r="AS120" i="3"/>
  <c r="AS132" i="3"/>
  <c r="AS133" i="3" s="1"/>
  <c r="AS114" i="3"/>
  <c r="AS123" i="3"/>
  <c r="AS124" i="3" s="1"/>
  <c r="AN132" i="3"/>
  <c r="AN133" i="3" s="1"/>
  <c r="AN120" i="3"/>
  <c r="AN129" i="3"/>
  <c r="AN130" i="3" s="1"/>
  <c r="AN123" i="3"/>
  <c r="AN124" i="3" s="1"/>
  <c r="AN114" i="3"/>
  <c r="AP132" i="3"/>
  <c r="AP133" i="3" s="1"/>
  <c r="AP120" i="3"/>
  <c r="AP121" i="3" s="1"/>
  <c r="AP123" i="3"/>
  <c r="AP124" i="3" s="1"/>
  <c r="AP129" i="3"/>
  <c r="AP130" i="3" s="1"/>
  <c r="AP114" i="3"/>
  <c r="AJ114" i="3"/>
  <c r="AJ120" i="3"/>
  <c r="AJ121" i="3" s="1"/>
  <c r="AJ132" i="3"/>
  <c r="AJ133" i="3" s="1"/>
  <c r="AJ123" i="3"/>
  <c r="AJ124" i="3" s="1"/>
  <c r="AJ129" i="3"/>
  <c r="AJ130" i="3" s="1"/>
  <c r="BK114" i="3"/>
  <c r="BK132" i="3"/>
  <c r="BK133" i="3" s="1"/>
  <c r="BK120" i="3"/>
  <c r="BK123" i="3"/>
  <c r="BK124" i="3" s="1"/>
  <c r="BK129" i="3"/>
  <c r="BK130" i="3" s="1"/>
  <c r="AT114" i="3"/>
  <c r="AT123" i="3"/>
  <c r="AT124" i="3" s="1"/>
  <c r="AT120" i="3"/>
  <c r="AT132" i="3"/>
  <c r="AT133" i="3" s="1"/>
  <c r="AT129" i="3"/>
  <c r="AT130" i="3" s="1"/>
  <c r="AK120" i="3"/>
  <c r="AK114" i="3"/>
  <c r="AK132" i="3"/>
  <c r="AK133" i="3" s="1"/>
  <c r="AK129" i="3"/>
  <c r="AK130" i="3" s="1"/>
  <c r="AK123" i="3"/>
  <c r="AK124" i="3" s="1"/>
  <c r="BF114" i="3"/>
  <c r="BF123" i="3"/>
  <c r="BF124" i="3" s="1"/>
  <c r="BF132" i="3"/>
  <c r="BF133" i="3" s="1"/>
  <c r="BF120" i="3"/>
  <c r="BF121" i="3" s="1"/>
  <c r="BF129" i="3"/>
  <c r="BF130" i="3" s="1"/>
  <c r="BB120" i="3"/>
  <c r="BB132" i="3"/>
  <c r="BB133" i="3" s="1"/>
  <c r="BB114" i="3"/>
  <c r="BB129" i="3"/>
  <c r="BB130" i="3" s="1"/>
  <c r="BB123" i="3"/>
  <c r="BB124" i="3" s="1"/>
  <c r="BF141" i="3"/>
  <c r="BF142" i="3" s="1"/>
  <c r="AL120" i="3"/>
  <c r="AL114" i="3"/>
  <c r="AL123" i="3"/>
  <c r="AL124" i="3" s="1"/>
  <c r="AL129" i="3"/>
  <c r="AL130" i="3" s="1"/>
  <c r="AL132" i="3"/>
  <c r="AL133" i="3" s="1"/>
  <c r="AL141" i="3"/>
  <c r="AL142" i="3" s="1"/>
  <c r="AP139" i="3"/>
  <c r="AP140" i="3" s="1"/>
  <c r="AQ132" i="3"/>
  <c r="AQ133" i="3" s="1"/>
  <c r="AQ129" i="3"/>
  <c r="AQ130" i="3" s="1"/>
  <c r="AQ120" i="3"/>
  <c r="AQ121" i="3" s="1"/>
  <c r="AQ123" i="3"/>
  <c r="AQ124" i="3" s="1"/>
  <c r="AQ141" i="3"/>
  <c r="AQ142" i="3" s="1"/>
  <c r="AQ114" i="3"/>
  <c r="BD114" i="3"/>
  <c r="BD123" i="3"/>
  <c r="BD124" i="3" s="1"/>
  <c r="BD120" i="3"/>
  <c r="BD129" i="3"/>
  <c r="BD130" i="3" s="1"/>
  <c r="BD132" i="3"/>
  <c r="BD133" i="3" s="1"/>
  <c r="AD132" i="3"/>
  <c r="AD133" i="3" s="1"/>
  <c r="AD129" i="3"/>
  <c r="AD130" i="3" s="1"/>
  <c r="AD114" i="3"/>
  <c r="AD123" i="3"/>
  <c r="AD124" i="3" s="1"/>
  <c r="AD120" i="3"/>
  <c r="Z114" i="3"/>
  <c r="Z132" i="3"/>
  <c r="Z133" i="3" s="1"/>
  <c r="Z120" i="3"/>
  <c r="Z123" i="3"/>
  <c r="Z124" i="3" s="1"/>
  <c r="Z129" i="3"/>
  <c r="Z130" i="3" s="1"/>
  <c r="AC129" i="3"/>
  <c r="AC130" i="3" s="1"/>
  <c r="AC123" i="3"/>
  <c r="AC124" i="3" s="1"/>
  <c r="AC114" i="3"/>
  <c r="AC132" i="3"/>
  <c r="AC133" i="3" s="1"/>
  <c r="AC120" i="3"/>
  <c r="AC121" i="3" s="1"/>
  <c r="AE123" i="3"/>
  <c r="AE124" i="3" s="1"/>
  <c r="AE132" i="3"/>
  <c r="AE133" i="3" s="1"/>
  <c r="AE129" i="3"/>
  <c r="AE130" i="3" s="1"/>
  <c r="AE114" i="3"/>
  <c r="AE120" i="3"/>
  <c r="AB120" i="3"/>
  <c r="AB129" i="3"/>
  <c r="AB130" i="3" s="1"/>
  <c r="AB132" i="3"/>
  <c r="AB133" i="3" s="1"/>
  <c r="AB123" i="3"/>
  <c r="AB124" i="3" s="1"/>
  <c r="AB114" i="3"/>
  <c r="Y120" i="3"/>
  <c r="Y121" i="3" s="1"/>
  <c r="Y123" i="3"/>
  <c r="Y124" i="3" s="1"/>
  <c r="Y129" i="3"/>
  <c r="Y130" i="3" s="1"/>
  <c r="Y114" i="3"/>
  <c r="Y132" i="3"/>
  <c r="Y133" i="3" s="1"/>
  <c r="AA132" i="3"/>
  <c r="AA133" i="3" s="1"/>
  <c r="AA120" i="3"/>
  <c r="AA114" i="3"/>
  <c r="AA123" i="3"/>
  <c r="AA124" i="3" s="1"/>
  <c r="AA129" i="3"/>
  <c r="AA130" i="3" s="1"/>
  <c r="AF114" i="3"/>
  <c r="AF123" i="3"/>
  <c r="AF124" i="3" s="1"/>
  <c r="AF129" i="3"/>
  <c r="AF130" i="3" s="1"/>
  <c r="AF132" i="3"/>
  <c r="AF133" i="3" s="1"/>
  <c r="AF120" i="3"/>
  <c r="T120" i="3"/>
  <c r="T114" i="3"/>
  <c r="T132" i="3"/>
  <c r="T133" i="3" s="1"/>
  <c r="T129" i="3"/>
  <c r="T130" i="3" s="1"/>
  <c r="T123" i="3"/>
  <c r="T124" i="3" s="1"/>
  <c r="N129" i="3"/>
  <c r="N130" i="3" s="1"/>
  <c r="N120" i="3"/>
  <c r="N132" i="3"/>
  <c r="N133" i="3" s="1"/>
  <c r="N123" i="3"/>
  <c r="N141" i="3" s="1"/>
  <c r="N142" i="3" s="1"/>
  <c r="N114" i="3"/>
  <c r="W129" i="3"/>
  <c r="W130" i="3" s="1"/>
  <c r="W132" i="3"/>
  <c r="W133" i="3" s="1"/>
  <c r="W120" i="3"/>
  <c r="W121" i="3" s="1"/>
  <c r="W114" i="3"/>
  <c r="W123" i="3"/>
  <c r="W124" i="3" s="1"/>
  <c r="H132" i="3"/>
  <c r="H133" i="3" s="1"/>
  <c r="H123" i="3"/>
  <c r="H124" i="3" s="1"/>
  <c r="H114" i="3"/>
  <c r="H120" i="3"/>
  <c r="H129" i="3"/>
  <c r="H130" i="3" s="1"/>
  <c r="V123" i="3"/>
  <c r="V124" i="3" s="1"/>
  <c r="V132" i="3"/>
  <c r="V133" i="3" s="1"/>
  <c r="V120" i="3"/>
  <c r="V129" i="3"/>
  <c r="V130" i="3" s="1"/>
  <c r="V114" i="3"/>
  <c r="R129" i="3"/>
  <c r="R130" i="3" s="1"/>
  <c r="R114" i="3"/>
  <c r="R132" i="3"/>
  <c r="R133" i="3" s="1"/>
  <c r="R120" i="3"/>
  <c r="R123" i="3"/>
  <c r="R124" i="3" s="1"/>
  <c r="P132" i="3"/>
  <c r="P133" i="3" s="1"/>
  <c r="P120" i="3"/>
  <c r="P121" i="3" s="1"/>
  <c r="P114" i="3"/>
  <c r="P123" i="3"/>
  <c r="P124" i="3" s="1"/>
  <c r="P129" i="3"/>
  <c r="P130" i="3" s="1"/>
  <c r="S114" i="3"/>
  <c r="S123" i="3"/>
  <c r="S124" i="3" s="1"/>
  <c r="S132" i="3"/>
  <c r="S133" i="3" s="1"/>
  <c r="S129" i="3"/>
  <c r="S130" i="3" s="1"/>
  <c r="S120" i="3"/>
  <c r="S141" i="3" s="1"/>
  <c r="S142" i="3" s="1"/>
  <c r="J129" i="3"/>
  <c r="J130" i="3" s="1"/>
  <c r="J132" i="3"/>
  <c r="J133" i="3" s="1"/>
  <c r="J120" i="3"/>
  <c r="J123" i="3"/>
  <c r="J124" i="3" s="1"/>
  <c r="J114" i="3"/>
  <c r="G123" i="3"/>
  <c r="G124" i="3" s="1"/>
  <c r="G129" i="3"/>
  <c r="G130" i="3" s="1"/>
  <c r="G114" i="3"/>
  <c r="G132" i="3"/>
  <c r="G133" i="3" s="1"/>
  <c r="G120" i="3"/>
  <c r="I123" i="3"/>
  <c r="I124" i="3" s="1"/>
  <c r="I132" i="3"/>
  <c r="I133" i="3" s="1"/>
  <c r="I114" i="3"/>
  <c r="I120" i="3"/>
  <c r="I129" i="3"/>
  <c r="I130" i="3" s="1"/>
  <c r="U141" i="3"/>
  <c r="U142" i="3" s="1"/>
  <c r="U139" i="3"/>
  <c r="U140" i="3" s="1"/>
  <c r="X141" i="3"/>
  <c r="X142" i="3" s="1"/>
  <c r="X139" i="3"/>
  <c r="X140" i="3" s="1"/>
  <c r="K139" i="3"/>
  <c r="K140" i="3" s="1"/>
  <c r="F139" i="3"/>
  <c r="F140" i="3" s="1"/>
  <c r="K141" i="3"/>
  <c r="K142" i="3" s="1"/>
  <c r="Q139" i="3"/>
  <c r="Q140" i="3" s="1"/>
  <c r="F141" i="3"/>
  <c r="F142" i="3" s="1"/>
  <c r="Q141" i="3"/>
  <c r="Q142" i="3" s="1"/>
  <c r="E140" i="3"/>
  <c r="L141" i="3"/>
  <c r="L142" i="3" s="1"/>
  <c r="L139" i="3"/>
  <c r="L140" i="3" s="1"/>
  <c r="M139" i="3"/>
  <c r="M140" i="3" s="1"/>
  <c r="E141" i="3"/>
  <c r="E142" i="3" s="1"/>
  <c r="M141" i="3"/>
  <c r="M142" i="3" s="1"/>
  <c r="O139" i="3"/>
  <c r="O140" i="3" s="1"/>
  <c r="O141" i="3"/>
  <c r="O142" i="3" s="1"/>
  <c r="E121" i="3"/>
  <c r="BE209" i="3"/>
  <c r="BF209" i="3"/>
  <c r="BH209" i="3"/>
  <c r="BG209" i="3"/>
  <c r="BL209" i="3"/>
  <c r="BI209" i="3"/>
  <c r="BJ209" i="3"/>
  <c r="BC209" i="3"/>
  <c r="BD209" i="3"/>
  <c r="BK209" i="3"/>
  <c r="BG210" i="3"/>
  <c r="BI210" i="3"/>
  <c r="BH210" i="3"/>
  <c r="BJ210" i="3"/>
  <c r="BK210" i="3"/>
  <c r="BC210" i="3"/>
  <c r="BD210" i="3"/>
  <c r="BE210" i="3"/>
  <c r="BF210" i="3"/>
  <c r="BL210" i="3"/>
  <c r="AA209" i="3"/>
  <c r="AJ209" i="3"/>
  <c r="AP209" i="3"/>
  <c r="BB209" i="3"/>
  <c r="AG209" i="3"/>
  <c r="AS209" i="3"/>
  <c r="AY209" i="3"/>
  <c r="AD209" i="3"/>
  <c r="AM209" i="3"/>
  <c r="AV209" i="3"/>
  <c r="Z209" i="3"/>
  <c r="AC209" i="3"/>
  <c r="AF209" i="3"/>
  <c r="AL209" i="3"/>
  <c r="AR209" i="3"/>
  <c r="AX209" i="3"/>
  <c r="BA209" i="3"/>
  <c r="AI209" i="3"/>
  <c r="AO209" i="3"/>
  <c r="AU209" i="3"/>
  <c r="Y209" i="3"/>
  <c r="AB209" i="3"/>
  <c r="AE209" i="3"/>
  <c r="AH209" i="3"/>
  <c r="AK209" i="3"/>
  <c r="AN209" i="3"/>
  <c r="AQ209" i="3"/>
  <c r="AT209" i="3"/>
  <c r="AW209" i="3"/>
  <c r="AZ209" i="3"/>
  <c r="AB210" i="3"/>
  <c r="AN210" i="3"/>
  <c r="AZ210" i="3"/>
  <c r="AC210" i="3"/>
  <c r="BA210" i="3"/>
  <c r="BB210" i="3"/>
  <c r="AQ210" i="3"/>
  <c r="AO210" i="3"/>
  <c r="AP210" i="3"/>
  <c r="AD210" i="3"/>
  <c r="AE210" i="3"/>
  <c r="AX210" i="3"/>
  <c r="AM210" i="3"/>
  <c r="AF210" i="3"/>
  <c r="AR210" i="3"/>
  <c r="AS210" i="3"/>
  <c r="AJ210" i="3"/>
  <c r="Z210" i="3"/>
  <c r="AA210" i="3"/>
  <c r="AY210" i="3"/>
  <c r="AG210" i="3"/>
  <c r="AH210" i="3"/>
  <c r="AT210" i="3"/>
  <c r="AI210" i="3"/>
  <c r="AU210" i="3"/>
  <c r="AV210" i="3"/>
  <c r="AL210" i="3"/>
  <c r="Y210" i="3"/>
  <c r="AK210" i="3"/>
  <c r="AW210" i="3"/>
  <c r="AO139" i="3" l="1"/>
  <c r="AO140" i="3" s="1"/>
  <c r="BB139" i="3"/>
  <c r="BB140" i="3" s="1"/>
  <c r="BJ141" i="3"/>
  <c r="BJ142" i="3" s="1"/>
  <c r="AK139" i="3"/>
  <c r="AK140" i="3" s="1"/>
  <c r="BA139" i="3"/>
  <c r="BA140" i="3" s="1"/>
  <c r="AR141" i="3"/>
  <c r="AR142" i="3" s="1"/>
  <c r="BA141" i="3"/>
  <c r="BA142" i="3" s="1"/>
  <c r="AQ139" i="3"/>
  <c r="AQ140" i="3" s="1"/>
  <c r="AR139" i="3"/>
  <c r="AR140" i="3" s="1"/>
  <c r="BC121" i="3"/>
  <c r="BC141" i="3"/>
  <c r="BC142" i="3" s="1"/>
  <c r="BC139" i="3"/>
  <c r="BC140" i="3" s="1"/>
  <c r="BJ121" i="3"/>
  <c r="BJ139" i="3"/>
  <c r="BJ140" i="3" s="1"/>
  <c r="AK141" i="3"/>
  <c r="AK142" i="3" s="1"/>
  <c r="AM121" i="3"/>
  <c r="AJ141" i="3"/>
  <c r="AJ142" i="3" s="1"/>
  <c r="AJ139" i="3"/>
  <c r="AJ140" i="3" s="1"/>
  <c r="AU141" i="3"/>
  <c r="AU142" i="3" s="1"/>
  <c r="AV141" i="3"/>
  <c r="AV142" i="3" s="1"/>
  <c r="BE141" i="3"/>
  <c r="BE142" i="3" s="1"/>
  <c r="AI121" i="3"/>
  <c r="AI141" i="3"/>
  <c r="AI142" i="3" s="1"/>
  <c r="AA139" i="3"/>
  <c r="AA140" i="3" s="1"/>
  <c r="AT141" i="3"/>
  <c r="AT142" i="3" s="1"/>
  <c r="AT121" i="3"/>
  <c r="AT139" i="3"/>
  <c r="AT140" i="3" s="1"/>
  <c r="AW121" i="3"/>
  <c r="AW139" i="3"/>
  <c r="AW140" i="3" s="1"/>
  <c r="AW141" i="3"/>
  <c r="AW142" i="3" s="1"/>
  <c r="BD121" i="3"/>
  <c r="BD141" i="3"/>
  <c r="BD142" i="3" s="1"/>
  <c r="BD139" i="3"/>
  <c r="BD140" i="3" s="1"/>
  <c r="BB141" i="3"/>
  <c r="BB142" i="3" s="1"/>
  <c r="BB121" i="3"/>
  <c r="AY141" i="3"/>
  <c r="AY142" i="3" s="1"/>
  <c r="AY139" i="3"/>
  <c r="AY140" i="3" s="1"/>
  <c r="BI141" i="3"/>
  <c r="BI142" i="3" s="1"/>
  <c r="BF139" i="3"/>
  <c r="BF140" i="3" s="1"/>
  <c r="BE139" i="3"/>
  <c r="BE140" i="3" s="1"/>
  <c r="BG141" i="3"/>
  <c r="BG142" i="3" s="1"/>
  <c r="AG139" i="3"/>
  <c r="AG140" i="3" s="1"/>
  <c r="AG121" i="3"/>
  <c r="BI139" i="3"/>
  <c r="BI140" i="3" s="1"/>
  <c r="AN121" i="3"/>
  <c r="AN141" i="3"/>
  <c r="AN142" i="3" s="1"/>
  <c r="AN139" i="3"/>
  <c r="AN140" i="3" s="1"/>
  <c r="BH141" i="3"/>
  <c r="BH142" i="3" s="1"/>
  <c r="AH121" i="3"/>
  <c r="AH139" i="3"/>
  <c r="AH140" i="3" s="1"/>
  <c r="AO121" i="3"/>
  <c r="AP141" i="3"/>
  <c r="AP142" i="3" s="1"/>
  <c r="AZ139" i="3"/>
  <c r="AZ140" i="3" s="1"/>
  <c r="AX141" i="3"/>
  <c r="AX142" i="3" s="1"/>
  <c r="AK121" i="3"/>
  <c r="BK139" i="3"/>
  <c r="BK140" i="3" s="1"/>
  <c r="BK121" i="3"/>
  <c r="BK141" i="3"/>
  <c r="BK142" i="3" s="1"/>
  <c r="BH139" i="3"/>
  <c r="BH140" i="3" s="1"/>
  <c r="AO141" i="3"/>
  <c r="AO142" i="3" s="1"/>
  <c r="AI139" i="3"/>
  <c r="AI140" i="3" s="1"/>
  <c r="BL141" i="3"/>
  <c r="BL142" i="3" s="1"/>
  <c r="BL121" i="3"/>
  <c r="BL139" i="3"/>
  <c r="BL140" i="3" s="1"/>
  <c r="AL139" i="3"/>
  <c r="AL140" i="3" s="1"/>
  <c r="AL121" i="3"/>
  <c r="AS121" i="3"/>
  <c r="AS139" i="3"/>
  <c r="AS140" i="3" s="1"/>
  <c r="AS141" i="3"/>
  <c r="AS142" i="3" s="1"/>
  <c r="AV139" i="3"/>
  <c r="AV140" i="3" s="1"/>
  <c r="AX139" i="3"/>
  <c r="AX140" i="3" s="1"/>
  <c r="Z141" i="3"/>
  <c r="Z142" i="3" s="1"/>
  <c r="Y141" i="3"/>
  <c r="Y142" i="3" s="1"/>
  <c r="D136" i="3"/>
  <c r="AB121" i="3"/>
  <c r="AB139" i="3"/>
  <c r="AB140" i="3" s="1"/>
  <c r="AB141" i="3"/>
  <c r="AB142" i="3" s="1"/>
  <c r="AE141" i="3"/>
  <c r="AE142" i="3" s="1"/>
  <c r="AE139" i="3"/>
  <c r="AE140" i="3" s="1"/>
  <c r="AE121" i="3"/>
  <c r="Z121" i="3"/>
  <c r="Y139" i="3"/>
  <c r="Y140" i="3" s="1"/>
  <c r="AC141" i="3"/>
  <c r="AC142" i="3" s="1"/>
  <c r="D116" i="3"/>
  <c r="G149" i="3" s="1"/>
  <c r="AD141" i="3"/>
  <c r="AD142" i="3" s="1"/>
  <c r="AD121" i="3"/>
  <c r="AD139" i="3"/>
  <c r="AD140" i="3" s="1"/>
  <c r="AC139" i="3"/>
  <c r="AC140" i="3" s="1"/>
  <c r="AF141" i="3"/>
  <c r="AF142" i="3" s="1"/>
  <c r="AF139" i="3"/>
  <c r="AF140" i="3" s="1"/>
  <c r="AF121" i="3"/>
  <c r="AA121" i="3"/>
  <c r="AA141" i="3"/>
  <c r="AA142" i="3" s="1"/>
  <c r="Z139" i="3"/>
  <c r="Z140" i="3" s="1"/>
  <c r="T141" i="3"/>
  <c r="T142" i="3" s="1"/>
  <c r="N124" i="3"/>
  <c r="G150" i="3"/>
  <c r="G202" i="3" s="1"/>
  <c r="D135" i="3"/>
  <c r="S121" i="3"/>
  <c r="S139" i="3"/>
  <c r="S140" i="3" s="1"/>
  <c r="G121" i="3"/>
  <c r="G139" i="3"/>
  <c r="G140" i="3" s="1"/>
  <c r="G141" i="3"/>
  <c r="G142" i="3" s="1"/>
  <c r="N121" i="3"/>
  <c r="N139" i="3"/>
  <c r="N140" i="3" s="1"/>
  <c r="R121" i="3"/>
  <c r="R139" i="3"/>
  <c r="R140" i="3" s="1"/>
  <c r="I121" i="3"/>
  <c r="I139" i="3"/>
  <c r="I140" i="3" s="1"/>
  <c r="I141" i="3"/>
  <c r="I142" i="3" s="1"/>
  <c r="W139" i="3"/>
  <c r="W140" i="3" s="1"/>
  <c r="P141" i="3"/>
  <c r="P142" i="3" s="1"/>
  <c r="H121" i="3"/>
  <c r="H139" i="3"/>
  <c r="H140" i="3" s="1"/>
  <c r="H141" i="3"/>
  <c r="H142" i="3" s="1"/>
  <c r="G186" i="3"/>
  <c r="G187" i="3" s="1"/>
  <c r="T210" i="3" s="1"/>
  <c r="J121" i="3"/>
  <c r="J141" i="3"/>
  <c r="J142" i="3" s="1"/>
  <c r="J139" i="3"/>
  <c r="J140" i="3" s="1"/>
  <c r="R141" i="3"/>
  <c r="R142" i="3" s="1"/>
  <c r="V121" i="3"/>
  <c r="V141" i="3"/>
  <c r="V142" i="3" s="1"/>
  <c r="V139" i="3"/>
  <c r="V140" i="3" s="1"/>
  <c r="P139" i="3"/>
  <c r="P140" i="3" s="1"/>
  <c r="G183" i="3"/>
  <c r="G184" i="3" s="1"/>
  <c r="E209" i="3" s="1"/>
  <c r="W141" i="3"/>
  <c r="W142" i="3" s="1"/>
  <c r="T121" i="3"/>
  <c r="T139" i="3"/>
  <c r="T140" i="3" s="1"/>
  <c r="BC208" i="3"/>
  <c r="BD208" i="3"/>
  <c r="BE208" i="3"/>
  <c r="BF208" i="3"/>
  <c r="BG208" i="3"/>
  <c r="BI208" i="3"/>
  <c r="BK208" i="3"/>
  <c r="BJ208" i="3"/>
  <c r="BL208" i="3"/>
  <c r="BH208" i="3"/>
  <c r="AA208" i="3"/>
  <c r="AD208" i="3"/>
  <c r="AG208" i="3"/>
  <c r="AJ208" i="3"/>
  <c r="AM208" i="3"/>
  <c r="AP208" i="3"/>
  <c r="AS208" i="3"/>
  <c r="AV208" i="3"/>
  <c r="BB208" i="3"/>
  <c r="AY208" i="3"/>
  <c r="Y208" i="3"/>
  <c r="AB208" i="3"/>
  <c r="AE208" i="3"/>
  <c r="AH208" i="3"/>
  <c r="AK208" i="3"/>
  <c r="AN208" i="3"/>
  <c r="AQ208" i="3"/>
  <c r="AT208" i="3"/>
  <c r="AW208" i="3"/>
  <c r="AZ208" i="3"/>
  <c r="Z208" i="3"/>
  <c r="AC208" i="3"/>
  <c r="AF208" i="3"/>
  <c r="AI208" i="3"/>
  <c r="AL208" i="3"/>
  <c r="AO208" i="3"/>
  <c r="AR208" i="3"/>
  <c r="AU208" i="3"/>
  <c r="AX208" i="3"/>
  <c r="BA208" i="3"/>
  <c r="V209" i="3" l="1"/>
  <c r="G209" i="3"/>
  <c r="J209" i="3"/>
  <c r="M209" i="3"/>
  <c r="G179" i="3"/>
  <c r="G180" i="3" s="1"/>
  <c r="U208" i="3" s="1"/>
  <c r="Q209" i="3"/>
  <c r="D126" i="3"/>
  <c r="X209" i="3"/>
  <c r="N209" i="3"/>
  <c r="X210" i="3"/>
  <c r="F209" i="3"/>
  <c r="H210" i="3"/>
  <c r="D145" i="3"/>
  <c r="G153" i="3" s="1"/>
  <c r="G152" i="3"/>
  <c r="I210" i="3"/>
  <c r="L210" i="3"/>
  <c r="I209" i="3"/>
  <c r="Q210" i="3"/>
  <c r="O210" i="3"/>
  <c r="U210" i="3"/>
  <c r="R209" i="3"/>
  <c r="S210" i="3"/>
  <c r="P209" i="3"/>
  <c r="D144" i="3"/>
  <c r="G151" i="3" s="1"/>
  <c r="G154" i="3"/>
  <c r="V210" i="3"/>
  <c r="T209" i="3"/>
  <c r="M210" i="3"/>
  <c r="H209" i="3"/>
  <c r="J210" i="3"/>
  <c r="F210" i="3"/>
  <c r="W209" i="3"/>
  <c r="W210" i="3"/>
  <c r="S209" i="3"/>
  <c r="P210" i="3"/>
  <c r="K209" i="3"/>
  <c r="R210" i="3"/>
  <c r="K210" i="3"/>
  <c r="N210" i="3"/>
  <c r="U209" i="3"/>
  <c r="E210" i="3"/>
  <c r="O209" i="3"/>
  <c r="G210" i="3"/>
  <c r="L209" i="3"/>
  <c r="X208" i="3" l="1"/>
  <c r="X217" i="3" s="1"/>
  <c r="R208" i="3"/>
  <c r="R217" i="3" s="1"/>
  <c r="M208" i="3"/>
  <c r="M217" i="3" s="1"/>
  <c r="E208" i="3"/>
  <c r="E216" i="3" s="1"/>
  <c r="K208" i="3"/>
  <c r="K217" i="3" s="1"/>
  <c r="L208" i="3"/>
  <c r="L217" i="3" s="1"/>
  <c r="V208" i="3"/>
  <c r="V216" i="3" s="1"/>
  <c r="N208" i="3"/>
  <c r="N217" i="3" s="1"/>
  <c r="T208" i="3"/>
  <c r="T216" i="3" s="1"/>
  <c r="I208" i="3"/>
  <c r="I216" i="3" s="1"/>
  <c r="P208" i="3"/>
  <c r="P216" i="3" s="1"/>
  <c r="J208" i="3"/>
  <c r="J217" i="3" s="1"/>
  <c r="O208" i="3"/>
  <c r="O217" i="3" s="1"/>
  <c r="S208" i="3"/>
  <c r="S216" i="3" s="1"/>
  <c r="H208" i="3"/>
  <c r="H217" i="3" s="1"/>
  <c r="W208" i="3"/>
  <c r="W217" i="3" s="1"/>
  <c r="G208" i="3"/>
  <c r="G216" i="3" s="1"/>
  <c r="F208" i="3"/>
  <c r="F216" i="3" s="1"/>
  <c r="G155" i="3"/>
  <c r="G175" i="3" s="1"/>
  <c r="Q208" i="3"/>
  <c r="Q216" i="3" s="1"/>
  <c r="G156" i="3"/>
  <c r="U217" i="3"/>
  <c r="R216" i="3"/>
  <c r="U216" i="3"/>
  <c r="G217" i="3" l="1"/>
  <c r="S217" i="3"/>
  <c r="M216" i="3"/>
  <c r="K216" i="3"/>
  <c r="X216" i="3"/>
  <c r="N216" i="3"/>
  <c r="V217" i="3"/>
  <c r="E217" i="3"/>
  <c r="P217" i="3"/>
  <c r="F217" i="3"/>
  <c r="O216" i="3"/>
  <c r="L216" i="3"/>
  <c r="H216" i="3"/>
  <c r="I217" i="3"/>
  <c r="T217" i="3"/>
  <c r="J216" i="3"/>
  <c r="W216" i="3"/>
  <c r="Q217" i="3"/>
  <c r="G220" i="3" l="1"/>
  <c r="P19" i="3" s="1"/>
  <c r="G221" i="3"/>
  <c r="P20" i="3" s="1"/>
</calcChain>
</file>

<file path=xl/sharedStrings.xml><?xml version="1.0" encoding="utf-8"?>
<sst xmlns="http://schemas.openxmlformats.org/spreadsheetml/2006/main" count="333" uniqueCount="293">
  <si>
    <t>Energy Storage Grand Challenge (ESGC)</t>
  </si>
  <si>
    <t>Contents</t>
  </si>
  <si>
    <t>Introduction</t>
  </si>
  <si>
    <t>LCOS Calculator</t>
  </si>
  <si>
    <t>Terms &amp; Abbreviations</t>
  </si>
  <si>
    <t>Assumptions &amp; Parameters</t>
  </si>
  <si>
    <t>Instructions</t>
  </si>
  <si>
    <t>Legend</t>
  </si>
  <si>
    <t>Inputs</t>
  </si>
  <si>
    <t>Calculations</t>
  </si>
  <si>
    <t>Outputs</t>
  </si>
  <si>
    <t>Technological Parameters</t>
  </si>
  <si>
    <t>Technology Parameter</t>
  </si>
  <si>
    <t>Units</t>
  </si>
  <si>
    <t>Value</t>
  </si>
  <si>
    <t>Fill in the yellow cells with the appropriate information. Depending on technology type (e.g., electrochemical vs. mechanical) some parameters such as the cycle life and rest time after charge/discharge may not apply.</t>
  </si>
  <si>
    <t>N/A</t>
  </si>
  <si>
    <t>Battery</t>
  </si>
  <si>
    <t>LCOS ($/kWh)</t>
  </si>
  <si>
    <t>MW</t>
  </si>
  <si>
    <t>hr</t>
  </si>
  <si>
    <t>Including cost to charge + RTE losses</t>
  </si>
  <si>
    <t>%</t>
  </si>
  <si>
    <t>Including RTE losses only</t>
  </si>
  <si>
    <t>Depth of Discharge (DOD)</t>
  </si>
  <si>
    <t>Required rest time after charge (if applicable)</t>
  </si>
  <si>
    <t>hrs</t>
  </si>
  <si>
    <t>Required rest time after discharge (if applicable)</t>
  </si>
  <si>
    <t>Max Cycles at Depth of Discharge (if applicable)</t>
  </si>
  <si>
    <t>#</t>
  </si>
  <si>
    <t>years</t>
  </si>
  <si>
    <t>Cost Parameter</t>
  </si>
  <si>
    <t>$/kW</t>
  </si>
  <si>
    <t>Fixed O&amp;M</t>
  </si>
  <si>
    <t>$/kW-yr</t>
  </si>
  <si>
    <t>Variable O&amp;M</t>
  </si>
  <si>
    <t>$/kWh-discharged</t>
  </si>
  <si>
    <t>Project Parameters</t>
  </si>
  <si>
    <t>Adders and Requirements</t>
  </si>
  <si>
    <t>(select response)</t>
  </si>
  <si>
    <t>Will the project meet the Prevailing Wage &amp; Apprenticeship Requirements?</t>
  </si>
  <si>
    <t>No</t>
  </si>
  <si>
    <t>Will the project qualify for the Energy Community Adder?</t>
  </si>
  <si>
    <t>Will the project qualify for the Domestic Content Adder?</t>
  </si>
  <si>
    <t>Year</t>
  </si>
  <si>
    <t>Component(s)</t>
  </si>
  <si>
    <t>Present Value</t>
  </si>
  <si>
    <t>Net Present Value ($)</t>
  </si>
  <si>
    <t>Energy per cycle at DOD (kWh)</t>
  </si>
  <si>
    <t>Calculates the AEO in each year. The AEO is assumed to remain constant per year given the ARMO schedule outlined above.</t>
  </si>
  <si>
    <t>Round Trip Efficiency (%) - AC</t>
  </si>
  <si>
    <t>Discharge Time (hrs)</t>
  </si>
  <si>
    <t>Charge Time (hrs)</t>
  </si>
  <si>
    <t>Total rest time per cycle (hrs)</t>
  </si>
  <si>
    <t>Total hours per cycle</t>
  </si>
  <si>
    <t>Max cycles per year at DOD</t>
  </si>
  <si>
    <t>AEO - Annual energy discharge per year corresponding to max annual cycles at DOD (kWh)</t>
  </si>
  <si>
    <t>O&amp;M and ECC Costs by Year</t>
  </si>
  <si>
    <t>kWh Output</t>
  </si>
  <si>
    <t>kWh Present Output</t>
  </si>
  <si>
    <t>kWh Net Present Output</t>
  </si>
  <si>
    <t>O&amp;M Cost Components by Year</t>
  </si>
  <si>
    <t>Fixed O&amp;M ($)</t>
  </si>
  <si>
    <t>Present Value ($)</t>
  </si>
  <si>
    <t>Variable O&amp;M ($)</t>
  </si>
  <si>
    <t>O&amp;M Net Present Value ($)</t>
  </si>
  <si>
    <t>Cost due to RTE Losses ($)</t>
  </si>
  <si>
    <t>Cost to charge ($)</t>
  </si>
  <si>
    <t>ECC Net Present Value ($)</t>
  </si>
  <si>
    <t>Sum of all annual costs</t>
  </si>
  <si>
    <t>Sum of annual costs, RTE losses only</t>
  </si>
  <si>
    <t>Sum of all annual costs Net Present Value ($)</t>
  </si>
  <si>
    <t>Sum of all annual costs, RTE losses only Net Present Value ($)</t>
  </si>
  <si>
    <t>Residual Value</t>
  </si>
  <si>
    <t>NPV of AEO at end of project lifetime</t>
  </si>
  <si>
    <t>NPV of AEO at end of analysis period</t>
  </si>
  <si>
    <t>Financial Components</t>
  </si>
  <si>
    <t>MACRS Depreciation Period</t>
  </si>
  <si>
    <t>ITC Base</t>
  </si>
  <si>
    <t>Energy Community Adder</t>
  </si>
  <si>
    <t>Domestic Content Adder</t>
  </si>
  <si>
    <t>Total ITC Credit</t>
  </si>
  <si>
    <t>Present Value of Depreciation (PVD)</t>
  </si>
  <si>
    <t>ECC (w/ RTE losses) ($/kWh-out)</t>
  </si>
  <si>
    <t>Cost due to RTE Losses ($/kWh-out)</t>
  </si>
  <si>
    <t>Capital Recovery Factor (CRF)</t>
  </si>
  <si>
    <t>Fixed Charge Rate (FCR)</t>
  </si>
  <si>
    <t>Overnight Capital Cost Components</t>
  </si>
  <si>
    <t>OCC ($)</t>
  </si>
  <si>
    <t>Annualized OCC ($/yr)</t>
  </si>
  <si>
    <t>Residual Value at N</t>
  </si>
  <si>
    <t>O&amp;M Cost Components Across Analysis Period</t>
  </si>
  <si>
    <t>Annualized O&amp;M NPV ($/yr)</t>
  </si>
  <si>
    <t>Charging Cost Components Across Analysis Period</t>
  </si>
  <si>
    <t>Annualized ECC (charging + RTE losses) NPV ($/yr)</t>
  </si>
  <si>
    <t>Cost due to RTE losses Net Present Value ($)</t>
  </si>
  <si>
    <t>Annualized Costs due to RTE Losses NPV ($/yr)</t>
  </si>
  <si>
    <t>ARMO Net Present Value ($)</t>
  </si>
  <si>
    <t>Annualized ARMO Net Present Value ($/yr)</t>
  </si>
  <si>
    <t>ARR Payments over N</t>
  </si>
  <si>
    <t>O&amp;M ($)</t>
  </si>
  <si>
    <t>ECC (charging + RTE losses) ($)</t>
  </si>
  <si>
    <t>ARMO ($)</t>
  </si>
  <si>
    <t>Term</t>
  </si>
  <si>
    <t>Description</t>
  </si>
  <si>
    <t>AEO</t>
  </si>
  <si>
    <t>ARMO</t>
  </si>
  <si>
    <t>Augmentations, replacements, &amp; major overhauls</t>
  </si>
  <si>
    <t>ARR</t>
  </si>
  <si>
    <t>The annual revenue that must be realized over the analysis period in order cover all costs associated with the project.</t>
  </si>
  <si>
    <t>The maximum number of years after which the component (e.g., storage block) reaches end of life regardless of operating conditions.</t>
  </si>
  <si>
    <t>COE</t>
  </si>
  <si>
    <t xml:space="preserve">Rate of return paid on assets financed with equity. </t>
  </si>
  <si>
    <t>CRF</t>
  </si>
  <si>
    <t xml:space="preserve">CRF represents the constant annual payment necessary to amortize a loan over a specified time period </t>
  </si>
  <si>
    <t>CT</t>
  </si>
  <si>
    <t>Charge time</t>
  </si>
  <si>
    <t>Time, in hours, required to charge the storage system.</t>
  </si>
  <si>
    <t>Cycle life</t>
  </si>
  <si>
    <t>The total number of cycles that a storage system can provide before reaching end of life as a function of DOD</t>
  </si>
  <si>
    <t>DF</t>
  </si>
  <si>
    <t>Debt fraction</t>
  </si>
  <si>
    <t>The portion of capital financed with debt</t>
  </si>
  <si>
    <t>DOD</t>
  </si>
  <si>
    <t>Depth of discharge</t>
  </si>
  <si>
    <t>The energy discharged as a percentage of the rated energy capacity of the storage system.</t>
  </si>
  <si>
    <t>DT</t>
  </si>
  <si>
    <t>Discharge time</t>
  </si>
  <si>
    <t>The ratio of rated energy and rated power.</t>
  </si>
  <si>
    <t>ECC</t>
  </si>
  <si>
    <t>Electricity charging cost</t>
  </si>
  <si>
    <t>FCR</t>
  </si>
  <si>
    <t>FOM</t>
  </si>
  <si>
    <t>Fixed operations &amp; maintenance cost</t>
  </si>
  <si>
    <t>Includes all costs necessary to keep the storage system operational throughout its life that do not fluctuate based on energy throughput, such as planned maintenance, parts, and labor and benefits for staff.</t>
  </si>
  <si>
    <t>i</t>
  </si>
  <si>
    <t>Interest rate</t>
  </si>
  <si>
    <t>Interest rate assumed on expenditures financed with debt.</t>
  </si>
  <si>
    <t xml:space="preserve">ITC </t>
  </si>
  <si>
    <t>Investment tax credit</t>
  </si>
  <si>
    <t>LCOS</t>
  </si>
  <si>
    <t>N</t>
  </si>
  <si>
    <t>The number of years over which capital recovery occurs.</t>
  </si>
  <si>
    <t>OCC</t>
  </si>
  <si>
    <t>Overnight capital cost</t>
  </si>
  <si>
    <t>Total initial capital cost incurred as if the storage system could be operational overnight</t>
  </si>
  <si>
    <t>p1</t>
  </si>
  <si>
    <t>Property tax</t>
  </si>
  <si>
    <t>Property taxes as a percent of capital</t>
  </si>
  <si>
    <t>p2</t>
  </si>
  <si>
    <t>Insurance</t>
  </si>
  <si>
    <t>Insurance cost as a percent of capital</t>
  </si>
  <si>
    <t>PL</t>
  </si>
  <si>
    <t>Project life</t>
  </si>
  <si>
    <t>The number of years a project operates for prior to decommissioning.</t>
  </si>
  <si>
    <t>PVD</t>
  </si>
  <si>
    <t>Present value of depreciation</t>
  </si>
  <si>
    <t xml:space="preserve">The basis of assets is depreciated over time to account for exhaustion and wear and tear. This depreciation counts as an income tax deduction.  The tax depreciation method used here is the Modified Accelerated Cost Recovery Schedule (MACRS). </t>
  </si>
  <si>
    <t>RR</t>
  </si>
  <si>
    <t>Revenue requirements</t>
  </si>
  <si>
    <t>The total revenue that must be realized in order to recover all costs associated with the project.</t>
  </si>
  <si>
    <t>RV</t>
  </si>
  <si>
    <t>Residual value</t>
  </si>
  <si>
    <t>rest_c</t>
  </si>
  <si>
    <t>Rest after charge</t>
  </si>
  <si>
    <t>rest_d</t>
  </si>
  <si>
    <t>Rest after discharge</t>
  </si>
  <si>
    <t>RTE</t>
  </si>
  <si>
    <t>Round trip efficiency</t>
  </si>
  <si>
    <t>t</t>
  </si>
  <si>
    <t>Combined federal and state tax rate</t>
  </si>
  <si>
    <t>VOM</t>
  </si>
  <si>
    <t>Variable operations &amp; maintenance cost</t>
  </si>
  <si>
    <t>WACC</t>
  </si>
  <si>
    <t>Represents the rate paid to financial assets as a weighted average of capital financed with debt and capital financed with equity.</t>
  </si>
  <si>
    <t>Financial Assumptions</t>
  </si>
  <si>
    <t>Parameter</t>
  </si>
  <si>
    <t>Inflation Rate</t>
  </si>
  <si>
    <t>Interest Rate - Nominal</t>
  </si>
  <si>
    <t>Interest Rate - Real</t>
  </si>
  <si>
    <t>COE - nominal</t>
  </si>
  <si>
    <t>COE - real</t>
  </si>
  <si>
    <t>Debt Fraction</t>
  </si>
  <si>
    <t>Tax Rate (Federal and State)</t>
  </si>
  <si>
    <t>Property Tax Rate</t>
  </si>
  <si>
    <t>Insurance Rate</t>
  </si>
  <si>
    <t>WACC - Nominal</t>
  </si>
  <si>
    <t xml:space="preserve">WACC - Real </t>
  </si>
  <si>
    <t>Electricity Cost ($/kWh)</t>
  </si>
  <si>
    <t>Analysis Period (years), N</t>
  </si>
  <si>
    <t>Technological Assumptions</t>
  </si>
  <si>
    <t>Bidirectional inverter one-way efficiency</t>
  </si>
  <si>
    <t>Unidirectional inverter (one-way) efficiency</t>
  </si>
  <si>
    <t>Rectifier (one-way) efficiency</t>
  </si>
  <si>
    <t>Bidirectional transformer one-way efficiency</t>
  </si>
  <si>
    <t>Depreciation Factor (MACRS)</t>
  </si>
  <si>
    <t>Depreciation rate for recovery period</t>
  </si>
  <si>
    <t>Storage types</t>
  </si>
  <si>
    <t>MACRS schedule</t>
  </si>
  <si>
    <t>Hydrogen</t>
  </si>
  <si>
    <t>Other</t>
  </si>
  <si>
    <t>Yes</t>
  </si>
  <si>
    <t>Overnight Capital Cost (OCC) and O&amp;M</t>
  </si>
  <si>
    <t>Annual Energy Output (AEO) Calculations</t>
  </si>
  <si>
    <t>Abbreviation</t>
  </si>
  <si>
    <t>The rated energy (kWh) of the storage system. Product of rated power (kW) and duration (hr)</t>
  </si>
  <si>
    <t>The rated power capacity (kW) of the energy storage system. It is also equal to the rated energy (kWh) divided by duration (hr).</t>
  </si>
  <si>
    <t>Duration</t>
  </si>
  <si>
    <t>Calendar life</t>
  </si>
  <si>
    <t>Tax rate</t>
  </si>
  <si>
    <t>Fixed O&amp;M Annual Cost Escalation Rate - Real</t>
  </si>
  <si>
    <t>Rated Storage Duration</t>
  </si>
  <si>
    <t>kWh Net Present Output*</t>
  </si>
  <si>
    <t>* Note that the discounting of physical units is a carryover of the algebra in the LCOS formula. See the documentation for more information.</t>
  </si>
  <si>
    <t>Annual energy output</t>
  </si>
  <si>
    <t>Annualized revenue requirements</t>
  </si>
  <si>
    <t>Cost of equity</t>
  </si>
  <si>
    <t>Capital recovery factor</t>
  </si>
  <si>
    <t>Domestic content adder</t>
  </si>
  <si>
    <t>Energy community adder</t>
  </si>
  <si>
    <t>Fixed charge rate</t>
  </si>
  <si>
    <t>Levelized cost of storage</t>
  </si>
  <si>
    <t>Analysis period</t>
  </si>
  <si>
    <t>Prevailing wage and apprenticeship requirements</t>
  </si>
  <si>
    <t>Rated energy</t>
  </si>
  <si>
    <t>Rated power</t>
  </si>
  <si>
    <t>Weighted average cost of capital</t>
  </si>
  <si>
    <t>Electricity Charging Costs (ECC) by Year</t>
  </si>
  <si>
    <t>RTE losses only Net Present Value ($)</t>
  </si>
  <si>
    <t>RTE losses only ($)</t>
  </si>
  <si>
    <t>Total ARR by Scenario</t>
  </si>
  <si>
    <t>NPV of ARR over Analysis Period (N)</t>
  </si>
  <si>
    <t>Energy Output over Analysis Period</t>
  </si>
  <si>
    <t>ARMO Costs over Analysis Period</t>
  </si>
  <si>
    <t>kilowatt-hours per year that the storage system discharges. Assumed to remain constant per year given augmentation, major overhauls, and replacements.</t>
  </si>
  <si>
    <t>Significant capital expenditures necessary to continue operation of the storage system at the specified depth of discharge across its project life.</t>
  </si>
  <si>
    <t>Time, in hours, required to discharge the storage system to the specified DOD.</t>
  </si>
  <si>
    <t>The total $/kWh cost to charge the storage system inclusive of electricity cost and costs due to RTE losses</t>
  </si>
  <si>
    <t>The fixed charge rate gives the percent of capital expenditures that must be recovered on an annual basis to cover annual revenue requirements accounting for depreciation, tax credits, and other components</t>
  </si>
  <si>
    <t>The Inflation Reduction Act made energy storage a part of ITC which is a federal tax incentive for investments.</t>
  </si>
  <si>
    <t>Gives the average revenue per unit of electricity discharged required to recover the costs of building and operating a storage asset over a specified time period</t>
  </si>
  <si>
    <t>When the analysis period (the time period over which they are expected to recover capital) is shorter than its project life (the number of years the system is capable of operating for), there is a follow-on value of net earnings after the financial life has passed which is considered to be residual value.</t>
  </si>
  <si>
    <t>Rest required after charging the storage system.</t>
  </si>
  <si>
    <t>Rest required after discharging the storage system.</t>
  </si>
  <si>
    <t>The ratio of energy discharged to the grid from a starting state of charge to the energy received from the grid to bring the ESS to the same starting state of charge.</t>
  </si>
  <si>
    <t>Includes all costs necessary to keep the storage system operational throughout its life that do fluctuate based on throughput.</t>
  </si>
  <si>
    <t>Inflation Reduction Act - Investment Credit Options</t>
  </si>
  <si>
    <t>Under the Inflation Reduction Act, energy storage may receive an ITC adder on top of their base ITC credit if they meet specific domestic content adder requirements related to the use of products produced in the US. The value of the domestic content adder is dependent on the following factors: projects receive a 10% ITC adder if they 1) meet domestic content adder requirements and 2) are either &lt;1 MW or &gt;1 MW but also meet the prevailing wage and apprenticeship requirements. Projects that are &gt;1 MW but do not meet the prevailing wage &amp; apprenticeship requirements can only achieve a 2% adder. For a complete description of domestic content adder requirements, refer to 48(a)(12) of the internal revenue code.</t>
  </si>
  <si>
    <t xml:space="preserve">Under the Inflation Reduction Act, energy storage receives a base ITC credit of 30% if it is &gt;1 MW and meets the Prevailing Wage &amp; Apprenticeship Requirements. For a complete description of these requirements refer to the Inflation Reduction Act and Sections 48(a)(10) and 48(a)(11) of the internal revenue code. </t>
  </si>
  <si>
    <t>Under the Inflation Reduction Act energy storage may receive an ITC adder on top of their base ITC credit if they meet specific energy community adder requirements (e.g., siting on a brownfield). The value of the energy community adder is dependent on the following factors: projects receive an additional 10% ITC adder if they 1) meet the community adder requirements and 2) are either &lt;1 MW or &gt;1 MW but also meet the prevailing wage and apprenticeship requirements. Projects that are &gt;1 MW but do not meet the prevailing wage &amp; apprenticeship requirements can only achieve a 2% Energy Community Adder. For a complete description of Energy Community Adder requirements, refer to 48(a)(14) of the internal revenue code.</t>
  </si>
  <si>
    <t>These parameters refer to adders and additional tax credits following those outlined in the Inflation Reduction Act. See the Terms &amp; Abbreviations Page for more information on each.</t>
  </si>
  <si>
    <t>Storage Type (select from drop-down)</t>
  </si>
  <si>
    <r>
      <t>This material was prepared as an account of work sponsored by an agency of the United States Government.  Neither the United States Government nor the United States Department of Energy, nor the Contractor, nor any or their employees, nor any jurisdiction or organization that has cooperated in the development of these materials</t>
    </r>
    <r>
      <rPr>
        <i/>
        <sz val="11"/>
        <color theme="1"/>
        <rFont val="Times New Roman"/>
        <family val="1"/>
      </rPr>
      <t xml:space="preserve">, </t>
    </r>
    <r>
      <rPr>
        <b/>
        <i/>
        <sz val="11"/>
        <color theme="1"/>
        <rFont val="Times New Roman"/>
        <family val="1"/>
      </rPr>
      <t xml:space="preserve">makes any warranty, express or implied, or assumes any legal liability or responsibility for the accuracy, completeness, or usefulness or any information, apparatus, product, software, or process disclosed, or represents that its use would not infringe privately owned rights.
</t>
    </r>
    <r>
      <rPr>
        <sz val="11"/>
        <color theme="1"/>
        <rFont val="Times New Roman"/>
        <family val="1"/>
      </rPr>
      <t xml:space="preserve">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t>
    </r>
  </si>
  <si>
    <t>Overnight Capital Cost (OCC)</t>
  </si>
  <si>
    <t>Fill in the yellow cells with the appropriate cost values for the storage system. The OCC includes all costs necessary to achieve an operational status.</t>
  </si>
  <si>
    <t>RV_N</t>
  </si>
  <si>
    <t>RV_N - RTE losses only</t>
  </si>
  <si>
    <t>PV of RV_N</t>
  </si>
  <si>
    <t>Total ARR</t>
  </si>
  <si>
    <t>Max cycles per day at DOD - Unlimited</t>
  </si>
  <si>
    <t>Max cycles per day at DOD - With Cycle Limitations</t>
  </si>
  <si>
    <t>Cycle limit per year at 100% DOD (if applicable), leave blank if none</t>
  </si>
  <si>
    <t>Decommissioning Costs</t>
  </si>
  <si>
    <t>Costs associated with the disconnection, disassembly, removal, and site remediation. These costs may vary widely based on whether the ESS is in the built environment or outside the built environment, how far materials must be transported, and whether site remediation is necessary.</t>
  </si>
  <si>
    <t>Warranty costs</t>
  </si>
  <si>
    <t>Fees to the equipment provider for manufacturability and performance assurance over designated lifespan</t>
  </si>
  <si>
    <t>Rated Storage Power Capacity</t>
  </si>
  <si>
    <t>Including cost to charge and RTE losses</t>
  </si>
  <si>
    <t>To calculate the LCOS ($/kWh), appropriate values must be provided or selected in the yellow input cells. All dollar values supplied should be provided in current year US dollar values. No adjustments for inflation should be made. Various terms are defined in the Terms &amp; Abbreviations page.</t>
  </si>
  <si>
    <t>Augmentations, Replacements, Major Overhauls (ARMO) (if applicable)</t>
  </si>
  <si>
    <t>Warranty Costs (if applicable)</t>
  </si>
  <si>
    <t>Total ARR - RTE losses only</t>
  </si>
  <si>
    <t>NPV of  all annual costs at end of project lifetime</t>
  </si>
  <si>
    <t>NPV of all annual costs  at end of analysis period</t>
  </si>
  <si>
    <t>NPV of annual costs (RTE losses only, not ECC) at end of project lifetime</t>
  </si>
  <si>
    <t>NPV of  annual costs (RTE losses only, not ECC)  at end of analysis period</t>
  </si>
  <si>
    <t>Warranty ($)</t>
  </si>
  <si>
    <t>Decommissioning ($)</t>
  </si>
  <si>
    <t>Warranty Costs over Analysis Period</t>
  </si>
  <si>
    <t>Decommissioning Costs over Analysis Period</t>
  </si>
  <si>
    <t>Warranty Cost Net Present Value ($)</t>
  </si>
  <si>
    <t>Annualized Warranty Net Present Value ($/yr)</t>
  </si>
  <si>
    <t>Decommissioning Net Present Value ($)</t>
  </si>
  <si>
    <t>Annualized Decommissioning Net Present Value ($/yr)</t>
  </si>
  <si>
    <t xml:space="preserve">Fill in the yellow cells below as appropriate with the cost expenditure (current year US dollar values) for any applicable warranty in each year it is incurred across the entire specified project life in cell J28.  </t>
  </si>
  <si>
    <t>Various storage components may need to be replaced or augmented at different stages to maintain operation at the specified DOD across the project life. This can include items such as replacement of power equipment or augmentation of the storage block. 
Fill in the yellow cells below as appropriate with the cost expenditure (current year $) for each replacement, augmentation, or major overhaul in each year it is incurred across the entire specified project life in cell J28.  All ARMO should be included such that the storage system can maintain the DOD specified in cell J23 for the entire project life. The cells below use adaptive highlighting to indicate which years to fill in for the indicated project life.</t>
  </si>
  <si>
    <t>Fill in the yellow cells below as appropriate with the cost expenditure (current year $) for any applicable disconnection, disassembly, remediation, recycling, or disposal costs for  each year they are incurred across the entire specified project life in cell J28.  Note that if various storage components are replaced or removed throughout the project life, a decommissioning cost may be incurred at multiple points across the project life.</t>
  </si>
  <si>
    <t>Cost and Performance Assessment LCOS Workbook v.2024</t>
  </si>
  <si>
    <t>Decommissioning  Cost(s) (if applicable)</t>
  </si>
  <si>
    <t>Acknowledgement</t>
  </si>
  <si>
    <t>Disclaimer</t>
  </si>
  <si>
    <t>We’d like to acknowledge and thank the US Department of Energy (DOE) Office of Clean Energy Demonstration (OCED), US DOE Office of Electricity (OE), and the US DOE Office of Energy Efficiency and Renewable Energy (EERE) for their funding and support of this effort.</t>
  </si>
  <si>
    <t>LCOS estimates the average revenue per kilowatt-hour throughput that must be obtained in order to cover costs required to build and operate a storage asset over a specified time period. This workbook calculates the LCOS in real terms and is usable for a range of storage technology types and may be used to compare diverse technologies with a common metric.
For the most up-to-date energy storage cost and performance metrics, please visit Pacific Northwest National Laboratory's Energy Storage Grand Challenge Energy Storage Cost and Performance Database website (https://www.pnnl.gov/ESGC-cost-performance).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</si>
</sst>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0_);\(&quot;$&quot;#,##0\)"/>
    <numFmt numFmtId="177" formatCode="&quot;$&quot;#,##0_);[Red]\(&quot;$&quot;#,##0\)"/>
    <numFmt numFmtId="178" formatCode="&quot;$&quot;#,##0.00_);[Red]\(&quot;$&quot;#,##0.00\)"/>
    <numFmt numFmtId="179" formatCode="_(&quot;$&quot;* #,##0_);_(&quot;$&quot;* \(#,##0\);_(&quot;$&quot;* &quot;-&quot;_);_(@_)"/>
    <numFmt numFmtId="180" formatCode="_(&quot;$&quot;* #,##0.00_);_(&quot;$&quot;* \(#,##0.00\);_(&quot;$&quot;* &quot;-&quot;??_);_(@_)"/>
    <numFmt numFmtId="181" formatCode="_(* #,##0.00_);_(* \(#,##0.00\);_(* &quot;-&quot;??_);_(@_)"/>
    <numFmt numFmtId="182" formatCode="General_)"/>
    <numFmt numFmtId="183" formatCode="0.0%"/>
    <numFmt numFmtId="184" formatCode="_(* #,##0_);_(* \(#,##0\);_(* &quot;-&quot;??_);_(@_)"/>
    <numFmt numFmtId="185" formatCode="0.000"/>
    <numFmt numFmtId="186" formatCode="_(&quot;$&quot;* #,##0.000_);_(&quot;$&quot;* \(#,##0.000\);_(&quot;$&quot;* &quot;-&quot;??_);_(@_)"/>
    <numFmt numFmtId="187" formatCode="&quot;$&quot;#,##0.00"/>
    <numFmt numFmtId="188" formatCode="_(&quot;$&quot;* #,##0_);_(&quot;$&quot;* \(#,##0\);_(&quot;$&quot;* &quot;-&quot;??_);_(@_)"/>
    <numFmt numFmtId="189" formatCode="&quot;$&quot;#,##0"/>
    <numFmt numFmtId="190" formatCode="&quot;$&quot;#,##0.000"/>
    <numFmt numFmtId="191" formatCode="&quot;$&quot;#,##0.0000"/>
  </numFmts>
  <fonts count="27">
    <font>
      <sz val="11"/>
      <color theme="1"/>
      <name val="맑은 고딕"/>
      <family val="2"/>
      <scheme val="minor"/>
    </font>
    <font>
      <sz val="12"/>
      <color theme="1"/>
      <name val="맑은 고딕"/>
      <family val="2"/>
      <scheme val="minor"/>
    </font>
    <font>
      <sz val="12"/>
      <color theme="1"/>
      <name val="맑은 고딕"/>
      <family val="2"/>
      <scheme val="minor"/>
    </font>
    <font>
      <sz val="11"/>
      <color theme="1"/>
      <name val="맑은 고딕"/>
      <family val="2"/>
      <scheme val="minor"/>
    </font>
    <font>
      <b/>
      <sz val="11"/>
      <color theme="1"/>
      <name val="맑은 고딕"/>
      <family val="2"/>
      <scheme val="minor"/>
    </font>
    <font>
      <sz val="10"/>
      <name val="Courier"/>
      <family val="3"/>
    </font>
    <font>
      <sz val="10"/>
      <name val="Arial"/>
      <family val="2"/>
    </font>
    <font>
      <sz val="11"/>
      <name val="맑은 고딕"/>
      <family val="2"/>
      <scheme val="minor"/>
    </font>
    <font>
      <b/>
      <sz val="12"/>
      <color theme="1"/>
      <name val="맑은 고딕"/>
      <family val="2"/>
      <scheme val="minor"/>
    </font>
    <font>
      <sz val="10.5"/>
      <color rgb="FF000000"/>
      <name val="맑은 고딕"/>
      <family val="2"/>
      <scheme val="minor"/>
    </font>
    <font>
      <sz val="12"/>
      <color theme="1"/>
      <name val="맑은 고딕"/>
      <family val="2"/>
      <scheme val="minor"/>
    </font>
    <font>
      <sz val="18"/>
      <color theme="1"/>
      <name val="맑은 고딕"/>
      <family val="2"/>
      <scheme val="minor"/>
    </font>
    <font>
      <sz val="26"/>
      <color theme="1"/>
      <name val="맑은 고딕"/>
      <family val="2"/>
      <scheme val="minor"/>
    </font>
    <font>
      <b/>
      <i/>
      <sz val="11"/>
      <color theme="1"/>
      <name val="맑은 고딕"/>
      <family val="2"/>
      <scheme val="minor"/>
    </font>
    <font>
      <sz val="8"/>
      <name val="맑은 고딕"/>
      <family val="2"/>
      <scheme val="minor"/>
    </font>
    <font>
      <b/>
      <sz val="16"/>
      <color theme="1"/>
      <name val="맑은 고딕"/>
      <family val="2"/>
      <scheme val="minor"/>
    </font>
    <font>
      <b/>
      <sz val="18"/>
      <color theme="1"/>
      <name val="맑은 고딕"/>
      <family val="2"/>
      <scheme val="minor"/>
    </font>
    <font>
      <sz val="20"/>
      <color theme="1"/>
      <name val="맑은 고딕"/>
      <family val="2"/>
      <scheme val="minor"/>
    </font>
    <font>
      <b/>
      <sz val="11"/>
      <name val="맑은 고딕"/>
      <family val="2"/>
      <scheme val="minor"/>
    </font>
    <font>
      <sz val="14"/>
      <color theme="1"/>
      <name val="맑은 고딕"/>
      <family val="2"/>
      <scheme val="minor"/>
    </font>
    <font>
      <sz val="11"/>
      <color theme="1"/>
      <name val="Times New Roman"/>
      <family val="1"/>
    </font>
    <font>
      <i/>
      <sz val="11"/>
      <color theme="1"/>
      <name val="Times New Roman"/>
      <family val="1"/>
    </font>
    <font>
      <b/>
      <i/>
      <sz val="11"/>
      <color theme="1"/>
      <name val="Times New Roman"/>
      <family val="1"/>
    </font>
    <font>
      <sz val="13"/>
      <color theme="1"/>
      <name val="Var(--jp-code-font-family)"/>
    </font>
    <font>
      <b/>
      <sz val="26"/>
      <color theme="1"/>
      <name val="맑은 고딕"/>
      <family val="2"/>
      <scheme val="minor"/>
    </font>
    <font>
      <sz val="11"/>
      <color theme="1"/>
      <name val="Calibri"/>
      <family val="2"/>
    </font>
    <font>
      <sz val="8"/>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6">
    <xf numFmtId="0" fontId="0" fillId="0" borderId="0"/>
    <xf numFmtId="181" fontId="3" fillId="0" borderId="0" applyFont="0" applyFill="0" applyBorder="0" applyAlignment="0" applyProtection="0"/>
    <xf numFmtId="9" fontId="3" fillId="0" borderId="0" applyFont="0" applyFill="0" applyBorder="0" applyAlignment="0" applyProtection="0"/>
    <xf numFmtId="176" fontId="5" fillId="0" borderId="0"/>
    <xf numFmtId="0" fontId="6" fillId="0" borderId="0"/>
    <xf numFmtId="180" fontId="3" fillId="0" borderId="0" applyFont="0" applyFill="0" applyBorder="0" applyAlignment="0" applyProtection="0"/>
  </cellStyleXfs>
  <cellXfs count="202">
    <xf numFmtId="0" fontId="0" fillId="0" borderId="0" xfId="0"/>
    <xf numFmtId="0" fontId="0" fillId="2" borderId="0" xfId="0" applyFill="1"/>
    <xf numFmtId="0" fontId="0" fillId="2" borderId="1" xfId="0" applyFill="1" applyBorder="1"/>
    <xf numFmtId="0" fontId="4" fillId="2" borderId="0" xfId="0" applyFont="1" applyFill="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8" fillId="2" borderId="0" xfId="0" applyFont="1" applyFill="1"/>
    <xf numFmtId="0" fontId="4" fillId="2" borderId="0" xfId="0" applyFont="1" applyFill="1" applyAlignment="1">
      <alignment horizontal="right"/>
    </xf>
    <xf numFmtId="0" fontId="0" fillId="2" borderId="9" xfId="0" applyFill="1" applyBorder="1"/>
    <xf numFmtId="0" fontId="0" fillId="2" borderId="10" xfId="0" applyFill="1" applyBorder="1"/>
    <xf numFmtId="0" fontId="0" fillId="2" borderId="11" xfId="0" applyFill="1" applyBorder="1"/>
    <xf numFmtId="0" fontId="4" fillId="2" borderId="12" xfId="0" applyFont="1" applyFill="1" applyBorder="1"/>
    <xf numFmtId="0" fontId="0" fillId="2" borderId="2" xfId="0" applyFill="1" applyBorder="1"/>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0" fontId="4" fillId="2" borderId="0" xfId="0" applyFont="1" applyFill="1" applyAlignment="1">
      <alignment horizontal="center"/>
    </xf>
    <xf numFmtId="0" fontId="0" fillId="2" borderId="12" xfId="0" applyFill="1" applyBorder="1"/>
    <xf numFmtId="0" fontId="0" fillId="2" borderId="8" xfId="0" applyFill="1" applyBorder="1"/>
    <xf numFmtId="0" fontId="0" fillId="2" borderId="17" xfId="0" applyFill="1" applyBorder="1"/>
    <xf numFmtId="182" fontId="7" fillId="2" borderId="0" xfId="3" applyNumberFormat="1" applyFont="1" applyFill="1"/>
    <xf numFmtId="0" fontId="0" fillId="0" borderId="1" xfId="0" applyBorder="1"/>
    <xf numFmtId="0" fontId="4" fillId="2" borderId="5" xfId="0" applyFont="1" applyFill="1" applyBorder="1"/>
    <xf numFmtId="0" fontId="0" fillId="2" borderId="0" xfId="0" applyFill="1" applyAlignment="1">
      <alignment horizontal="right"/>
    </xf>
    <xf numFmtId="0" fontId="0" fillId="2" borderId="0" xfId="0" applyFill="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3" borderId="1" xfId="0" applyFill="1" applyBorder="1"/>
    <xf numFmtId="183" fontId="0" fillId="3" borderId="1" xfId="2" applyNumberFormat="1" applyFont="1" applyFill="1" applyBorder="1"/>
    <xf numFmtId="180" fontId="0" fillId="3" borderId="1" xfId="5" applyFont="1" applyFill="1" applyBorder="1"/>
    <xf numFmtId="0" fontId="10" fillId="2" borderId="0" xfId="0" applyFont="1" applyFill="1" applyAlignment="1">
      <alignment horizontal="right"/>
    </xf>
    <xf numFmtId="189" fontId="0" fillId="2" borderId="0" xfId="0" applyNumberFormat="1" applyFill="1"/>
    <xf numFmtId="187" fontId="0" fillId="2" borderId="0" xfId="0" applyNumberFormat="1" applyFill="1"/>
    <xf numFmtId="189" fontId="0" fillId="2" borderId="0" xfId="5" applyNumberFormat="1" applyFont="1" applyFill="1" applyBorder="1"/>
    <xf numFmtId="186" fontId="0" fillId="3" borderId="1" xfId="5" applyNumberFormat="1" applyFont="1" applyFill="1" applyBorder="1"/>
    <xf numFmtId="0" fontId="11" fillId="2" borderId="0" xfId="0" applyFont="1" applyFill="1"/>
    <xf numFmtId="0" fontId="12" fillId="2" borderId="0" xfId="0" applyFont="1" applyFill="1"/>
    <xf numFmtId="188" fontId="0" fillId="2" borderId="0" xfId="0" applyNumberFormat="1" applyFill="1"/>
    <xf numFmtId="0" fontId="0" fillId="2" borderId="1" xfId="0" applyFill="1" applyBorder="1" applyAlignment="1">
      <alignment horizontal="right"/>
    </xf>
    <xf numFmtId="187" fontId="0" fillId="2" borderId="0" xfId="5" applyNumberFormat="1" applyFont="1" applyFill="1" applyBorder="1"/>
    <xf numFmtId="0" fontId="0" fillId="2" borderId="0" xfId="0" applyFill="1" applyAlignment="1">
      <alignment horizontal="left"/>
    </xf>
    <xf numFmtId="9" fontId="0" fillId="2" borderId="0" xfId="2" applyFont="1" applyFill="1" applyBorder="1"/>
    <xf numFmtId="180" fontId="0" fillId="2" borderId="0" xfId="5" applyFont="1" applyFill="1" applyBorder="1"/>
    <xf numFmtId="0" fontId="7" fillId="2" borderId="0" xfId="0" applyFont="1" applyFill="1"/>
    <xf numFmtId="0" fontId="8" fillId="2" borderId="12" xfId="0" applyFont="1" applyFill="1" applyBorder="1"/>
    <xf numFmtId="0" fontId="13" fillId="2" borderId="8" xfId="0" applyFont="1" applyFill="1" applyBorder="1"/>
    <xf numFmtId="189" fontId="0" fillId="2" borderId="17" xfId="5" applyNumberFormat="1" applyFont="1" applyFill="1" applyBorder="1"/>
    <xf numFmtId="182" fontId="7" fillId="2" borderId="1" xfId="3" applyNumberFormat="1" applyFont="1" applyFill="1" applyBorder="1"/>
    <xf numFmtId="0" fontId="8" fillId="2" borderId="0" xfId="0" applyFont="1" applyFill="1" applyAlignment="1">
      <alignment wrapText="1"/>
    </xf>
    <xf numFmtId="10" fontId="0" fillId="2" borderId="0" xfId="2" applyNumberFormat="1" applyFont="1" applyFill="1" applyBorder="1"/>
    <xf numFmtId="0" fontId="0" fillId="2" borderId="18" xfId="0" applyFill="1" applyBorder="1"/>
    <xf numFmtId="0" fontId="15" fillId="2" borderId="0" xfId="0" applyFont="1" applyFill="1"/>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190" fontId="0" fillId="5" borderId="1" xfId="5" applyNumberFormat="1" applyFont="1" applyFill="1" applyBorder="1"/>
    <xf numFmtId="10" fontId="0" fillId="4" borderId="1" xfId="2" applyNumberFormat="1" applyFont="1" applyFill="1" applyBorder="1"/>
    <xf numFmtId="0" fontId="0" fillId="4" borderId="1" xfId="0" applyFill="1" applyBorder="1"/>
    <xf numFmtId="2" fontId="0" fillId="4" borderId="1" xfId="0" applyNumberFormat="1" applyFill="1" applyBorder="1"/>
    <xf numFmtId="1" fontId="0" fillId="4" borderId="1" xfId="0" applyNumberFormat="1" applyFill="1" applyBorder="1"/>
    <xf numFmtId="184" fontId="0" fillId="4" borderId="1" xfId="0" applyNumberFormat="1" applyFill="1" applyBorder="1" applyAlignment="1">
      <alignment horizontal="center"/>
    </xf>
    <xf numFmtId="188" fontId="0" fillId="4" borderId="1" xfId="0" applyNumberFormat="1" applyFill="1" applyBorder="1"/>
    <xf numFmtId="189" fontId="0" fillId="4" borderId="1" xfId="5" applyNumberFormat="1" applyFont="1" applyFill="1" applyBorder="1"/>
    <xf numFmtId="189" fontId="0" fillId="4" borderId="1" xfId="0" applyNumberFormat="1" applyFill="1" applyBorder="1"/>
    <xf numFmtId="188" fontId="0" fillId="4" borderId="1" xfId="5" applyNumberFormat="1" applyFont="1" applyFill="1" applyBorder="1"/>
    <xf numFmtId="179" fontId="0" fillId="4" borderId="1" xfId="0" applyNumberFormat="1" applyFill="1" applyBorder="1"/>
    <xf numFmtId="0" fontId="8" fillId="2" borderId="8" xfId="0" applyFont="1" applyFill="1" applyBorder="1"/>
    <xf numFmtId="0" fontId="8" fillId="2" borderId="14" xfId="0" applyFont="1" applyFill="1" applyBorder="1"/>
    <xf numFmtId="178" fontId="0" fillId="2" borderId="0" xfId="0" applyNumberFormat="1" applyFill="1"/>
    <xf numFmtId="184" fontId="0" fillId="4" borderId="1" xfId="1" applyNumberFormat="1" applyFont="1" applyFill="1" applyBorder="1"/>
    <xf numFmtId="184" fontId="0" fillId="4" borderId="9" xfId="1" applyNumberFormat="1" applyFont="1" applyFill="1" applyBorder="1"/>
    <xf numFmtId="184" fontId="0" fillId="4" borderId="9" xfId="0" applyNumberFormat="1" applyFill="1" applyBorder="1" applyAlignment="1">
      <alignment horizontal="center"/>
    </xf>
    <xf numFmtId="184" fontId="0" fillId="4" borderId="13" xfId="1" applyNumberFormat="1" applyFont="1" applyFill="1" applyBorder="1"/>
    <xf numFmtId="0" fontId="0" fillId="2" borderId="2" xfId="0" applyFill="1" applyBorder="1" applyAlignment="1">
      <alignment horizontal="center"/>
    </xf>
    <xf numFmtId="3" fontId="0" fillId="4" borderId="1" xfId="0" applyNumberFormat="1" applyFill="1" applyBorder="1"/>
    <xf numFmtId="9" fontId="0" fillId="0" borderId="0" xfId="5" applyNumberFormat="1" applyFont="1" applyFill="1" applyBorder="1"/>
    <xf numFmtId="10" fontId="0" fillId="2" borderId="1" xfId="2" applyNumberFormat="1" applyFont="1" applyFill="1" applyBorder="1"/>
    <xf numFmtId="10" fontId="0" fillId="2" borderId="1" xfId="0" applyNumberFormat="1" applyFill="1" applyBorder="1"/>
    <xf numFmtId="183" fontId="0" fillId="2" borderId="1" xfId="2" applyNumberFormat="1" applyFont="1" applyFill="1" applyBorder="1"/>
    <xf numFmtId="9" fontId="0" fillId="0" borderId="1" xfId="5" applyNumberFormat="1" applyFont="1" applyFill="1" applyBorder="1"/>
    <xf numFmtId="0" fontId="0" fillId="2" borderId="0" xfId="0" applyFill="1" applyAlignment="1">
      <alignment vertical="top" wrapText="1"/>
    </xf>
    <xf numFmtId="3" fontId="0" fillId="2" borderId="0" xfId="0" applyNumberFormat="1" applyFill="1"/>
    <xf numFmtId="187" fontId="0" fillId="2" borderId="19" xfId="5" applyNumberFormat="1" applyFont="1" applyFill="1" applyBorder="1"/>
    <xf numFmtId="189" fontId="0" fillId="0" borderId="0" xfId="0" applyNumberFormat="1"/>
    <xf numFmtId="38" fontId="0" fillId="4" borderId="1" xfId="0" applyNumberFormat="1" applyFill="1" applyBorder="1"/>
    <xf numFmtId="189" fontId="0" fillId="4" borderId="1" xfId="0" applyNumberFormat="1" applyFill="1" applyBorder="1" applyAlignment="1">
      <alignment horizontal="right" vertical="center"/>
    </xf>
    <xf numFmtId="177" fontId="0" fillId="4" borderId="1" xfId="0" applyNumberFormat="1" applyFill="1" applyBorder="1" applyAlignment="1">
      <alignment horizontal="right" vertical="center"/>
    </xf>
    <xf numFmtId="185" fontId="0" fillId="4" borderId="1" xfId="0" applyNumberFormat="1" applyFill="1" applyBorder="1"/>
    <xf numFmtId="190" fontId="0" fillId="4" borderId="1" xfId="0" applyNumberFormat="1" applyFill="1" applyBorder="1"/>
    <xf numFmtId="9" fontId="7" fillId="4" borderId="1" xfId="2" applyFont="1" applyFill="1" applyBorder="1"/>
    <xf numFmtId="9" fontId="0" fillId="4" borderId="1" xfId="0" applyNumberFormat="1" applyFill="1" applyBorder="1"/>
    <xf numFmtId="0" fontId="4" fillId="2" borderId="15" xfId="0" applyFont="1" applyFill="1" applyBorder="1" applyAlignment="1">
      <alignment horizontal="left" vertical="top" wrapText="1"/>
    </xf>
    <xf numFmtId="0" fontId="0" fillId="2" borderId="15" xfId="0" applyFill="1" applyBorder="1" applyAlignment="1">
      <alignment horizontal="left"/>
    </xf>
    <xf numFmtId="184" fontId="0" fillId="4" borderId="20" xfId="1" applyNumberFormat="1" applyFont="1" applyFill="1" applyBorder="1" applyAlignment="1">
      <alignment horizontal="right"/>
    </xf>
    <xf numFmtId="0" fontId="0" fillId="2" borderId="0" xfId="0" applyFill="1" applyAlignment="1">
      <alignment horizontal="right" wrapText="1"/>
    </xf>
    <xf numFmtId="10" fontId="0" fillId="2" borderId="0" xfId="0" applyNumberFormat="1" applyFill="1"/>
    <xf numFmtId="10" fontId="7" fillId="0" borderId="1" xfId="4" applyNumberFormat="1" applyFont="1" applyBorder="1"/>
    <xf numFmtId="183" fontId="7" fillId="0" borderId="1" xfId="4" applyNumberFormat="1" applyFont="1" applyBorder="1"/>
    <xf numFmtId="177" fontId="0" fillId="2" borderId="0" xfId="0" applyNumberFormat="1" applyFill="1"/>
    <xf numFmtId="0" fontId="0" fillId="2" borderId="0" xfId="0" applyFill="1" applyAlignment="1">
      <alignment wrapText="1"/>
    </xf>
    <xf numFmtId="189" fontId="0" fillId="4" borderId="12" xfId="0" applyNumberFormat="1" applyFill="1" applyBorder="1"/>
    <xf numFmtId="189" fontId="0" fillId="4" borderId="2" xfId="0" applyNumberFormat="1" applyFill="1" applyBorder="1"/>
    <xf numFmtId="189" fontId="0" fillId="4" borderId="13" xfId="0" applyNumberFormat="1" applyFill="1" applyBorder="1"/>
    <xf numFmtId="189" fontId="0" fillId="4" borderId="14" xfId="0" applyNumberFormat="1" applyFill="1" applyBorder="1"/>
    <xf numFmtId="189" fontId="0" fillId="4" borderId="15" xfId="0" applyNumberFormat="1" applyFill="1" applyBorder="1"/>
    <xf numFmtId="189" fontId="0" fillId="4" borderId="16" xfId="0" applyNumberFormat="1" applyFill="1" applyBorder="1"/>
    <xf numFmtId="0" fontId="13" fillId="2" borderId="14" xfId="0" applyFont="1" applyFill="1" applyBorder="1"/>
    <xf numFmtId="187" fontId="0" fillId="4" borderId="1" xfId="5" applyNumberFormat="1" applyFont="1" applyFill="1" applyBorder="1"/>
    <xf numFmtId="0" fontId="0" fillId="2" borderId="1" xfId="0" applyFill="1" applyBorder="1" applyAlignment="1">
      <alignment horizontal="left" vertical="center"/>
    </xf>
    <xf numFmtId="0" fontId="9" fillId="2"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xf>
    <xf numFmtId="0" fontId="0" fillId="2" borderId="0" xfId="0" quotePrefix="1" applyFill="1"/>
    <xf numFmtId="0" fontId="8" fillId="2" borderId="1" xfId="0" applyFont="1" applyFill="1" applyBorder="1"/>
    <xf numFmtId="0" fontId="0" fillId="2" borderId="0" xfId="0" applyFill="1" applyAlignment="1">
      <alignment horizontal="left" vertical="top" wrapText="1"/>
    </xf>
    <xf numFmtId="0" fontId="0" fillId="0" borderId="11" xfId="0" applyBorder="1"/>
    <xf numFmtId="187" fontId="0" fillId="0" borderId="11" xfId="0" applyNumberFormat="1" applyBorder="1"/>
    <xf numFmtId="0" fontId="0" fillId="2" borderId="16" xfId="0" applyFill="1" applyBorder="1" applyAlignment="1">
      <alignment horizontal="center"/>
    </xf>
    <xf numFmtId="187" fontId="0" fillId="0" borderId="1" xfId="5" applyNumberFormat="1" applyFont="1" applyFill="1" applyBorder="1"/>
    <xf numFmtId="188" fontId="0" fillId="2" borderId="0" xfId="5" applyNumberFormat="1" applyFont="1" applyFill="1" applyBorder="1"/>
    <xf numFmtId="0" fontId="0" fillId="2" borderId="21" xfId="0" applyFill="1" applyBorder="1"/>
    <xf numFmtId="0" fontId="0" fillId="2" borderId="22" xfId="0" applyFill="1" applyBorder="1"/>
    <xf numFmtId="0" fontId="0" fillId="2" borderId="23" xfId="0" applyFill="1" applyBorder="1"/>
    <xf numFmtId="180" fontId="0" fillId="4" borderId="1" xfId="5" applyFont="1" applyFill="1" applyBorder="1"/>
    <xf numFmtId="0" fontId="17" fillId="2" borderId="0" xfId="0" applyFont="1" applyFill="1"/>
    <xf numFmtId="180" fontId="0" fillId="4" borderId="1" xfId="0" applyNumberFormat="1" applyFill="1" applyBorder="1"/>
    <xf numFmtId="0" fontId="8" fillId="2" borderId="0" xfId="0" applyFont="1" applyFill="1" applyAlignment="1">
      <alignment horizontal="right"/>
    </xf>
    <xf numFmtId="9" fontId="0" fillId="2" borderId="9" xfId="2" applyFont="1" applyFill="1" applyBorder="1"/>
    <xf numFmtId="9" fontId="0" fillId="2" borderId="1" xfId="2" applyFont="1" applyFill="1" applyBorder="1"/>
    <xf numFmtId="191" fontId="0" fillId="2" borderId="0" xfId="0" applyNumberFormat="1" applyFill="1"/>
    <xf numFmtId="178" fontId="0" fillId="2" borderId="0" xfId="0" quotePrefix="1" applyNumberFormat="1" applyFill="1"/>
    <xf numFmtId="185" fontId="0" fillId="2" borderId="0" xfId="5" applyNumberFormat="1" applyFont="1" applyFill="1"/>
    <xf numFmtId="185" fontId="0" fillId="2" borderId="0" xfId="0" applyNumberFormat="1" applyFill="1"/>
    <xf numFmtId="190" fontId="0" fillId="5" borderId="9" xfId="0" applyNumberFormat="1" applyFill="1" applyBorder="1"/>
    <xf numFmtId="190" fontId="0" fillId="2" borderId="2" xfId="0" applyNumberFormat="1" applyFill="1" applyBorder="1"/>
    <xf numFmtId="0" fontId="4" fillId="2" borderId="17" xfId="0" applyFont="1" applyFill="1" applyBorder="1"/>
    <xf numFmtId="0" fontId="0" fillId="2" borderId="18" xfId="0" applyFill="1" applyBorder="1" applyAlignment="1">
      <alignment horizontal="left"/>
    </xf>
    <xf numFmtId="0" fontId="0" fillId="2" borderId="19" xfId="0" applyFill="1" applyBorder="1" applyAlignment="1">
      <alignment horizontal="left"/>
    </xf>
    <xf numFmtId="0" fontId="0" fillId="2" borderId="20" xfId="0" applyFill="1" applyBorder="1" applyAlignment="1">
      <alignment horizontal="left"/>
    </xf>
    <xf numFmtId="0" fontId="8" fillId="2" borderId="18" xfId="0" applyFont="1" applyFill="1" applyBorder="1"/>
    <xf numFmtId="0" fontId="0" fillId="2" borderId="19" xfId="0" applyFill="1" applyBorder="1"/>
    <xf numFmtId="0" fontId="16" fillId="2" borderId="0" xfId="0" applyFont="1" applyFill="1"/>
    <xf numFmtId="0" fontId="19" fillId="2" borderId="0" xfId="0" applyFont="1" applyFill="1"/>
    <xf numFmtId="0" fontId="18" fillId="2" borderId="0" xfId="0" applyFont="1" applyFill="1" applyAlignment="1">
      <alignment horizontal="left" vertical="top"/>
    </xf>
    <xf numFmtId="0" fontId="7" fillId="2" borderId="0" xfId="0" applyFont="1" applyFill="1" applyAlignment="1">
      <alignment horizontal="left" vertical="top"/>
    </xf>
    <xf numFmtId="0" fontId="0" fillId="2" borderId="0" xfId="0" applyFill="1" applyAlignment="1">
      <alignment horizontal="left" vertical="top"/>
    </xf>
    <xf numFmtId="190" fontId="0" fillId="2" borderId="0" xfId="0" applyNumberFormat="1" applyFill="1"/>
    <xf numFmtId="180" fontId="0" fillId="2" borderId="0" xfId="0" applyNumberFormat="1" applyFill="1"/>
    <xf numFmtId="0" fontId="0" fillId="0" borderId="0" xfId="0" applyAlignment="1">
      <alignment horizontal="right" vertical="top" wrapText="1"/>
    </xf>
    <xf numFmtId="189" fontId="0" fillId="4" borderId="18" xfId="0" applyNumberFormat="1" applyFill="1" applyBorder="1"/>
    <xf numFmtId="189" fontId="0" fillId="4" borderId="19" xfId="0" applyNumberFormat="1" applyFill="1" applyBorder="1"/>
    <xf numFmtId="189" fontId="0" fillId="4" borderId="20" xfId="0" applyNumberFormat="1" applyFill="1" applyBorder="1"/>
    <xf numFmtId="0" fontId="23" fillId="0" borderId="0" xfId="0" applyFont="1"/>
    <xf numFmtId="0" fontId="0" fillId="4" borderId="18" xfId="0" applyFill="1" applyBorder="1"/>
    <xf numFmtId="0" fontId="24" fillId="2" borderId="0" xfId="0" applyFont="1" applyFill="1"/>
    <xf numFmtId="0" fontId="1"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0" xfId="0" applyFont="1" applyFill="1" applyAlignment="1">
      <alignment horizontal="left" vertical="top" wrapText="1"/>
    </xf>
    <xf numFmtId="0" fontId="20" fillId="0" borderId="0" xfId="0" applyFont="1" applyAlignment="1">
      <alignment horizontal="left" vertical="top" wrapText="1"/>
    </xf>
    <xf numFmtId="0" fontId="25" fillId="0" borderId="0" xfId="0" applyFont="1" applyAlignment="1">
      <alignment horizontal="left" vertical="top" wrapText="1"/>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2" borderId="0" xfId="0" applyFill="1" applyAlignment="1">
      <alignment horizontal="left" vertical="top" wrapText="1"/>
    </xf>
    <xf numFmtId="0" fontId="19" fillId="2" borderId="0" xfId="0" applyFont="1" applyFill="1" applyAlignment="1">
      <alignment horizontal="left" vertical="top" wrapText="1"/>
    </xf>
    <xf numFmtId="0" fontId="10" fillId="2" borderId="0" xfId="0" applyFont="1" applyFill="1" applyAlignment="1">
      <alignment horizontal="left" vertical="top" wrapText="1"/>
    </xf>
    <xf numFmtId="0" fontId="0" fillId="2" borderId="18" xfId="0" applyFill="1" applyBorder="1" applyAlignment="1">
      <alignment horizontal="left"/>
    </xf>
    <xf numFmtId="0" fontId="0" fillId="2" borderId="19" xfId="0" applyFill="1" applyBorder="1" applyAlignment="1">
      <alignment horizontal="left"/>
    </xf>
    <xf numFmtId="0" fontId="0" fillId="2" borderId="20" xfId="0" applyFill="1" applyBorder="1" applyAlignment="1">
      <alignment horizontal="left"/>
    </xf>
    <xf numFmtId="0" fontId="0" fillId="2" borderId="2" xfId="0" applyFill="1" applyBorder="1" applyAlignment="1">
      <alignment horizontal="left"/>
    </xf>
    <xf numFmtId="0" fontId="0" fillId="2" borderId="13" xfId="0" applyFill="1" applyBorder="1" applyAlignment="1">
      <alignment horizontal="left"/>
    </xf>
    <xf numFmtId="0" fontId="0" fillId="2" borderId="2" xfId="0" applyFill="1" applyBorder="1" applyAlignment="1">
      <alignment horizontal="left" vertical="top"/>
    </xf>
    <xf numFmtId="0" fontId="0" fillId="2" borderId="0" xfId="0" applyFill="1" applyAlignment="1">
      <alignment horizontal="left"/>
    </xf>
    <xf numFmtId="0" fontId="13" fillId="2" borderId="17" xfId="0" applyFont="1" applyFill="1" applyBorder="1" applyAlignment="1">
      <alignment horizontal="center" vertical="top" wrapText="1"/>
    </xf>
    <xf numFmtId="0" fontId="13" fillId="2" borderId="0" xfId="0" applyFont="1" applyFill="1" applyAlignment="1">
      <alignment horizontal="center" vertical="top" wrapText="1"/>
    </xf>
    <xf numFmtId="0" fontId="0" fillId="2" borderId="18" xfId="0" applyFill="1" applyBorder="1" applyAlignment="1">
      <alignment horizontal="left" wrapText="1"/>
    </xf>
    <xf numFmtId="0" fontId="0" fillId="2" borderId="19" xfId="0" applyFill="1" applyBorder="1" applyAlignment="1">
      <alignment horizontal="left" wrapText="1"/>
    </xf>
    <xf numFmtId="0" fontId="0" fillId="2" borderId="20" xfId="0" applyFill="1" applyBorder="1" applyAlignment="1">
      <alignment horizontal="left" wrapText="1"/>
    </xf>
    <xf numFmtId="0" fontId="0" fillId="0" borderId="12" xfId="0" applyBorder="1" applyAlignment="1">
      <alignment horizontal="left" wrapText="1"/>
    </xf>
    <xf numFmtId="0" fontId="0" fillId="0" borderId="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184" fontId="7" fillId="4" borderId="9" xfId="1" applyNumberFormat="1" applyFont="1" applyFill="1" applyBorder="1" applyAlignment="1">
      <alignment horizontal="right" vertical="center"/>
    </xf>
    <xf numFmtId="184" fontId="7" fillId="4" borderId="11" xfId="1" applyNumberFormat="1" applyFont="1" applyFill="1" applyBorder="1" applyAlignment="1">
      <alignment horizontal="right"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2" borderId="18" xfId="0" applyFill="1" applyBorder="1" applyAlignment="1">
      <alignment horizontal="left" vertical="center" wrapText="1"/>
    </xf>
    <xf numFmtId="0" fontId="0" fillId="2" borderId="19" xfId="0" applyFill="1" applyBorder="1" applyAlignment="1">
      <alignment horizontal="left" vertical="center" wrapText="1"/>
    </xf>
    <xf numFmtId="0" fontId="0" fillId="2" borderId="20" xfId="0" applyFill="1" applyBorder="1" applyAlignment="1">
      <alignment horizontal="left" vertical="center" wrapText="1"/>
    </xf>
    <xf numFmtId="0" fontId="0" fillId="2" borderId="1" xfId="0" applyFill="1" applyBorder="1" applyAlignment="1">
      <alignment horizontal="left" vertical="center" wrapText="1"/>
    </xf>
    <xf numFmtId="0" fontId="8" fillId="2" borderId="18" xfId="0" applyFont="1" applyFill="1" applyBorder="1" applyAlignment="1">
      <alignment horizontal="left"/>
    </xf>
    <xf numFmtId="0" fontId="8" fillId="2" borderId="19" xfId="0" applyFont="1" applyFill="1" applyBorder="1" applyAlignment="1">
      <alignment horizontal="left"/>
    </xf>
    <xf numFmtId="0" fontId="8" fillId="2" borderId="20" xfId="0" applyFont="1" applyFill="1" applyBorder="1" applyAlignment="1">
      <alignment horizontal="left"/>
    </xf>
    <xf numFmtId="0" fontId="0" fillId="2" borderId="1" xfId="0" applyFill="1" applyBorder="1" applyAlignment="1">
      <alignment horizontal="left"/>
    </xf>
    <xf numFmtId="0" fontId="0" fillId="0" borderId="1" xfId="0" applyBorder="1" applyAlignment="1">
      <alignment horizontal="left"/>
    </xf>
  </cellXfs>
  <cellStyles count="6">
    <cellStyle name="Normal 2" xfId="4" xr:uid="{B84B5D7A-2042-426F-901A-B07455DCF673}"/>
    <cellStyle name="Normal_Other Data" xfId="3" xr:uid="{896A31D3-45A0-404B-9E3D-6675AAEC61EC}"/>
    <cellStyle name="백분율" xfId="2" builtinId="5"/>
    <cellStyle name="쉼표" xfId="1" builtinId="3"/>
    <cellStyle name="통화" xfId="5" builtinId="4"/>
    <cellStyle name="표준" xfId="0" builtinId="0"/>
  </cellStyles>
  <dxfs count="2">
    <dxf>
      <fill>
        <patternFill>
          <bgColor theme="4" tint="0.79998168889431442"/>
        </patternFill>
      </fill>
    </dxf>
    <dxf>
      <fill>
        <patternFill>
          <bgColor theme="7" tint="0.79998168889431442"/>
        </patternFill>
      </fill>
    </dxf>
  </dxfs>
  <tableStyles count="0" defaultTableStyle="TableStyleMedium2" defaultPivotStyle="PivotStyleLight16"/>
  <colors>
    <mruColors>
      <color rgb="FFBFE2B3"/>
      <color rgb="FF67BD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209550</xdr:colOff>
      <xdr:row>3</xdr:row>
      <xdr:rowOff>142875</xdr:rowOff>
    </xdr:from>
    <xdr:to>
      <xdr:col>18</xdr:col>
      <xdr:colOff>45720</xdr:colOff>
      <xdr:row>8</xdr:row>
      <xdr:rowOff>27335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685800"/>
          <a:ext cx="4305300" cy="1143665"/>
        </a:xfrm>
        <a:prstGeom prst="rect">
          <a:avLst/>
        </a:prstGeom>
        <a:noFill/>
        <a:ln>
          <a:noFill/>
        </a:ln>
      </xdr:spPr>
    </xdr:pic>
    <xdr:clientData/>
  </xdr:twoCellAnchor>
  <xdr:twoCellAnchor editAs="oneCell">
    <xdr:from>
      <xdr:col>5</xdr:col>
      <xdr:colOff>209550</xdr:colOff>
      <xdr:row>46</xdr:row>
      <xdr:rowOff>58239</xdr:rowOff>
    </xdr:from>
    <xdr:to>
      <xdr:col>10</xdr:col>
      <xdr:colOff>256125</xdr:colOff>
      <xdr:row>52</xdr:row>
      <xdr:rowOff>171059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486150" y="9087939"/>
          <a:ext cx="3239355" cy="119867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E3BB-154A-4282-B1DE-4233AC1B2056}">
  <dimension ref="C5:P55"/>
  <sheetViews>
    <sheetView workbookViewId="0">
      <selection activeCell="G25" sqref="G25"/>
    </sheetView>
  </sheetViews>
  <sheetFormatPr defaultColWidth="8.83203125" defaultRowHeight="17"/>
  <cols>
    <col min="1" max="4" width="8.83203125" style="1"/>
    <col min="5" max="5" width="10" style="1" customWidth="1"/>
    <col min="6" max="16384" width="8.83203125" style="1"/>
  </cols>
  <sheetData>
    <row r="5" spans="3:11" ht="38">
      <c r="C5" s="40" t="s">
        <v>0</v>
      </c>
    </row>
    <row r="6" spans="3:11" ht="26">
      <c r="C6" s="39" t="s">
        <v>287</v>
      </c>
    </row>
    <row r="9" spans="3:11" ht="14.5" customHeight="1">
      <c r="C9" s="159" t="s">
        <v>292</v>
      </c>
      <c r="D9" s="160"/>
      <c r="E9" s="160"/>
      <c r="F9" s="160"/>
      <c r="G9" s="160"/>
      <c r="H9" s="160"/>
      <c r="I9" s="160"/>
      <c r="J9" s="160"/>
      <c r="K9" s="160"/>
    </row>
    <row r="10" spans="3:11">
      <c r="C10" s="161"/>
      <c r="D10" s="161"/>
      <c r="E10" s="161"/>
      <c r="F10" s="161"/>
      <c r="G10" s="161"/>
      <c r="H10" s="161"/>
      <c r="I10" s="161"/>
      <c r="J10" s="161"/>
      <c r="K10" s="161"/>
    </row>
    <row r="11" spans="3:11">
      <c r="C11" s="161"/>
      <c r="D11" s="161"/>
      <c r="E11" s="161"/>
      <c r="F11" s="161"/>
      <c r="G11" s="161"/>
      <c r="H11" s="161"/>
      <c r="I11" s="161"/>
      <c r="J11" s="161"/>
      <c r="K11" s="161"/>
    </row>
    <row r="12" spans="3:11">
      <c r="C12" s="161"/>
      <c r="D12" s="161"/>
      <c r="E12" s="161"/>
      <c r="F12" s="161"/>
      <c r="G12" s="161"/>
      <c r="H12" s="161"/>
      <c r="I12" s="161"/>
      <c r="J12" s="161"/>
      <c r="K12" s="161"/>
    </row>
    <row r="13" spans="3:11">
      <c r="C13" s="161"/>
      <c r="D13" s="161"/>
      <c r="E13" s="161"/>
      <c r="F13" s="161"/>
      <c r="G13" s="161"/>
      <c r="H13" s="161"/>
      <c r="I13" s="161"/>
      <c r="J13" s="161"/>
      <c r="K13" s="161"/>
    </row>
    <row r="14" spans="3:11">
      <c r="C14" s="161"/>
      <c r="D14" s="161"/>
      <c r="E14" s="161"/>
      <c r="F14" s="161"/>
      <c r="G14" s="161"/>
      <c r="H14" s="161"/>
      <c r="I14" s="161"/>
      <c r="J14" s="161"/>
      <c r="K14" s="161"/>
    </row>
    <row r="15" spans="3:11">
      <c r="C15" s="161"/>
      <c r="D15" s="161"/>
      <c r="E15" s="161"/>
      <c r="F15" s="161"/>
      <c r="G15" s="161"/>
      <c r="H15" s="161"/>
      <c r="I15" s="161"/>
      <c r="J15" s="161"/>
      <c r="K15" s="161"/>
    </row>
    <row r="16" spans="3:11">
      <c r="C16" s="161"/>
      <c r="D16" s="161"/>
      <c r="E16" s="161"/>
      <c r="F16" s="161"/>
      <c r="G16" s="161"/>
      <c r="H16" s="161"/>
      <c r="I16" s="161"/>
      <c r="J16" s="161"/>
      <c r="K16" s="161"/>
    </row>
    <row r="17" spans="3:16">
      <c r="C17" s="161"/>
      <c r="D17" s="161"/>
      <c r="E17" s="161"/>
      <c r="F17" s="161"/>
      <c r="G17" s="161"/>
      <c r="H17" s="161"/>
      <c r="I17" s="161"/>
      <c r="J17" s="161"/>
      <c r="K17" s="161"/>
    </row>
    <row r="18" spans="3:16">
      <c r="C18" s="161"/>
      <c r="D18" s="161"/>
      <c r="E18" s="161"/>
      <c r="F18" s="161"/>
      <c r="G18" s="161"/>
      <c r="H18" s="161"/>
      <c r="I18" s="161"/>
      <c r="J18" s="161"/>
      <c r="K18" s="161"/>
    </row>
    <row r="19" spans="3:16">
      <c r="C19" s="161"/>
      <c r="D19" s="161"/>
      <c r="E19" s="161"/>
      <c r="F19" s="161"/>
      <c r="G19" s="161"/>
      <c r="H19" s="161"/>
      <c r="I19" s="161"/>
      <c r="J19" s="161"/>
      <c r="K19" s="161"/>
    </row>
    <row r="20" spans="3:16">
      <c r="C20" s="118"/>
      <c r="D20" s="118"/>
      <c r="E20" s="118"/>
      <c r="F20" s="118"/>
      <c r="G20" s="118"/>
      <c r="H20" s="118"/>
      <c r="I20" s="118"/>
      <c r="J20" s="118"/>
      <c r="K20" s="118"/>
    </row>
    <row r="21" spans="3:16" ht="30">
      <c r="C21" s="128" t="s">
        <v>1</v>
      </c>
    </row>
    <row r="22" spans="3:16">
      <c r="C22" s="21" t="s">
        <v>2</v>
      </c>
      <c r="D22" s="15"/>
      <c r="E22" s="15"/>
      <c r="F22" s="16"/>
    </row>
    <row r="23" spans="3:16">
      <c r="C23" s="22" t="s">
        <v>3</v>
      </c>
      <c r="F23" s="23"/>
      <c r="P23"/>
    </row>
    <row r="24" spans="3:16">
      <c r="C24" s="22" t="s">
        <v>4</v>
      </c>
      <c r="F24" s="23"/>
    </row>
    <row r="25" spans="3:16">
      <c r="C25" s="17" t="s">
        <v>5</v>
      </c>
      <c r="D25" s="18"/>
      <c r="E25" s="18"/>
      <c r="F25" s="19"/>
    </row>
    <row r="26" spans="3:16">
      <c r="C26" s="84"/>
      <c r="D26" s="84"/>
      <c r="E26" s="84"/>
      <c r="F26" s="84"/>
      <c r="G26" s="84"/>
      <c r="H26" s="84"/>
      <c r="I26" s="84"/>
      <c r="J26" s="84"/>
      <c r="K26" s="84"/>
    </row>
    <row r="27" spans="3:16">
      <c r="C27" s="84"/>
      <c r="D27" s="84"/>
      <c r="E27" s="84"/>
      <c r="F27" s="84"/>
      <c r="G27" s="84"/>
      <c r="H27" s="84"/>
      <c r="I27" s="84"/>
      <c r="J27" s="84"/>
      <c r="K27" s="84"/>
    </row>
    <row r="28" spans="3:16">
      <c r="C28" s="84"/>
      <c r="D28" s="84"/>
      <c r="E28" s="84"/>
      <c r="F28" s="84"/>
      <c r="G28" s="84"/>
      <c r="H28" s="84"/>
      <c r="I28" s="84"/>
      <c r="J28" s="84"/>
      <c r="K28" s="84"/>
    </row>
    <row r="29" spans="3:16">
      <c r="C29" s="84"/>
      <c r="D29" s="84"/>
      <c r="E29" s="84"/>
      <c r="F29" s="84"/>
      <c r="G29" s="84"/>
      <c r="H29" s="84"/>
      <c r="I29" s="84"/>
      <c r="J29" s="84"/>
      <c r="K29" s="84"/>
    </row>
    <row r="30" spans="3:16" ht="30">
      <c r="C30" s="128" t="s">
        <v>289</v>
      </c>
      <c r="D30" s="84"/>
      <c r="E30" s="84"/>
      <c r="F30" s="84"/>
      <c r="G30" s="84"/>
      <c r="H30" s="84"/>
      <c r="I30" s="84"/>
      <c r="J30" s="84"/>
      <c r="K30" s="84"/>
    </row>
    <row r="31" spans="3:16" ht="16" customHeight="1">
      <c r="C31" s="163" t="s">
        <v>291</v>
      </c>
      <c r="D31" s="163"/>
      <c r="E31" s="163"/>
      <c r="F31" s="163"/>
      <c r="G31" s="163"/>
      <c r="H31" s="163"/>
      <c r="I31" s="163"/>
      <c r="J31" s="163"/>
      <c r="K31" s="163"/>
      <c r="L31" s="163"/>
      <c r="M31" s="163"/>
      <c r="N31" s="163"/>
      <c r="O31" s="163"/>
    </row>
    <row r="32" spans="3:16" ht="26" customHeight="1">
      <c r="C32" s="163"/>
      <c r="D32" s="163"/>
      <c r="E32" s="163"/>
      <c r="F32" s="163"/>
      <c r="G32" s="163"/>
      <c r="H32" s="163"/>
      <c r="I32" s="163"/>
      <c r="J32" s="163"/>
      <c r="K32" s="163"/>
      <c r="L32" s="163"/>
      <c r="M32" s="163"/>
      <c r="N32" s="163"/>
      <c r="O32" s="163"/>
    </row>
    <row r="33" spans="3:15">
      <c r="C33" s="163"/>
      <c r="D33" s="163"/>
      <c r="E33" s="163"/>
      <c r="F33" s="163"/>
      <c r="G33" s="163"/>
      <c r="H33" s="163"/>
      <c r="I33" s="163"/>
      <c r="J33" s="163"/>
      <c r="K33" s="163"/>
      <c r="L33" s="163"/>
      <c r="M33" s="163"/>
      <c r="N33" s="163"/>
      <c r="O33" s="163"/>
    </row>
    <row r="34" spans="3:15">
      <c r="C34" s="84"/>
      <c r="D34" s="84"/>
      <c r="E34" s="84"/>
      <c r="F34" s="84"/>
      <c r="G34" s="84"/>
      <c r="H34" s="84"/>
      <c r="I34" s="84"/>
      <c r="J34" s="84"/>
      <c r="K34" s="84"/>
    </row>
    <row r="35" spans="3:15" ht="30">
      <c r="C35" s="128" t="s">
        <v>290</v>
      </c>
      <c r="D35" s="128"/>
      <c r="E35" s="84"/>
      <c r="F35" s="84"/>
      <c r="G35" s="84"/>
      <c r="H35" s="84"/>
      <c r="I35" s="84"/>
      <c r="J35" s="84"/>
      <c r="K35" s="84"/>
    </row>
    <row r="36" spans="3:15" ht="14.5" customHeight="1">
      <c r="C36" s="162" t="s">
        <v>252</v>
      </c>
      <c r="D36" s="162"/>
      <c r="E36" s="162"/>
      <c r="F36" s="162"/>
      <c r="G36" s="162"/>
      <c r="H36" s="162"/>
      <c r="I36" s="162"/>
      <c r="J36" s="162"/>
      <c r="K36" s="162"/>
      <c r="L36" s="162"/>
      <c r="M36" s="162"/>
      <c r="N36" s="162"/>
      <c r="O36" s="162"/>
    </row>
    <row r="37" spans="3:15">
      <c r="C37" s="162"/>
      <c r="D37" s="162"/>
      <c r="E37" s="162"/>
      <c r="F37" s="162"/>
      <c r="G37" s="162"/>
      <c r="H37" s="162"/>
      <c r="I37" s="162"/>
      <c r="J37" s="162"/>
      <c r="K37" s="162"/>
      <c r="L37" s="162"/>
      <c r="M37" s="162"/>
      <c r="N37" s="162"/>
      <c r="O37" s="162"/>
    </row>
    <row r="38" spans="3:15">
      <c r="C38" s="162"/>
      <c r="D38" s="162"/>
      <c r="E38" s="162"/>
      <c r="F38" s="162"/>
      <c r="G38" s="162"/>
      <c r="H38" s="162"/>
      <c r="I38" s="162"/>
      <c r="J38" s="162"/>
      <c r="K38" s="162"/>
      <c r="L38" s="162"/>
      <c r="M38" s="162"/>
      <c r="N38" s="162"/>
      <c r="O38" s="162"/>
    </row>
    <row r="39" spans="3:15">
      <c r="C39" s="162"/>
      <c r="D39" s="162"/>
      <c r="E39" s="162"/>
      <c r="F39" s="162"/>
      <c r="G39" s="162"/>
      <c r="H39" s="162"/>
      <c r="I39" s="162"/>
      <c r="J39" s="162"/>
      <c r="K39" s="162"/>
      <c r="L39" s="162"/>
      <c r="M39" s="162"/>
      <c r="N39" s="162"/>
      <c r="O39" s="162"/>
    </row>
    <row r="40" spans="3:15">
      <c r="C40" s="162"/>
      <c r="D40" s="162"/>
      <c r="E40" s="162"/>
      <c r="F40" s="162"/>
      <c r="G40" s="162"/>
      <c r="H40" s="162"/>
      <c r="I40" s="162"/>
      <c r="J40" s="162"/>
      <c r="K40" s="162"/>
      <c r="L40" s="162"/>
      <c r="M40" s="162"/>
      <c r="N40" s="162"/>
      <c r="O40" s="162"/>
    </row>
    <row r="41" spans="3:15">
      <c r="C41" s="162"/>
      <c r="D41" s="162"/>
      <c r="E41" s="162"/>
      <c r="F41" s="162"/>
      <c r="G41" s="162"/>
      <c r="H41" s="162"/>
      <c r="I41" s="162"/>
      <c r="J41" s="162"/>
      <c r="K41" s="162"/>
      <c r="L41" s="162"/>
      <c r="M41" s="162"/>
      <c r="N41" s="162"/>
      <c r="O41" s="162"/>
    </row>
    <row r="42" spans="3:15">
      <c r="C42" s="162"/>
      <c r="D42" s="162"/>
      <c r="E42" s="162"/>
      <c r="F42" s="162"/>
      <c r="G42" s="162"/>
      <c r="H42" s="162"/>
      <c r="I42" s="162"/>
      <c r="J42" s="162"/>
      <c r="K42" s="162"/>
      <c r="L42" s="162"/>
      <c r="M42" s="162"/>
      <c r="N42" s="162"/>
      <c r="O42" s="162"/>
    </row>
    <row r="43" spans="3:15">
      <c r="C43" s="162"/>
      <c r="D43" s="162"/>
      <c r="E43" s="162"/>
      <c r="F43" s="162"/>
      <c r="G43" s="162"/>
      <c r="H43" s="162"/>
      <c r="I43" s="162"/>
      <c r="J43" s="162"/>
      <c r="K43" s="162"/>
      <c r="L43" s="162"/>
      <c r="M43" s="162"/>
      <c r="N43" s="162"/>
      <c r="O43" s="162"/>
    </row>
    <row r="44" spans="3:15">
      <c r="C44" s="162"/>
      <c r="D44" s="162"/>
      <c r="E44" s="162"/>
      <c r="F44" s="162"/>
      <c r="G44" s="162"/>
      <c r="H44" s="162"/>
      <c r="I44" s="162"/>
      <c r="J44" s="162"/>
      <c r="K44" s="162"/>
      <c r="L44" s="162"/>
      <c r="M44" s="162"/>
      <c r="N44" s="162"/>
      <c r="O44" s="162"/>
    </row>
    <row r="45" spans="3:15">
      <c r="C45" s="162"/>
      <c r="D45" s="162"/>
      <c r="E45" s="162"/>
      <c r="F45" s="162"/>
      <c r="G45" s="162"/>
      <c r="H45" s="162"/>
      <c r="I45" s="162"/>
      <c r="J45" s="162"/>
      <c r="K45" s="162"/>
      <c r="L45" s="162"/>
      <c r="M45" s="162"/>
      <c r="N45" s="162"/>
      <c r="O45" s="162"/>
    </row>
    <row r="46" spans="3:15">
      <c r="C46" s="162"/>
      <c r="D46" s="162"/>
      <c r="E46" s="162"/>
      <c r="F46" s="162"/>
      <c r="G46" s="162"/>
      <c r="H46" s="162"/>
      <c r="I46" s="162"/>
      <c r="J46" s="162"/>
      <c r="K46" s="162"/>
      <c r="L46" s="162"/>
      <c r="M46" s="162"/>
      <c r="N46" s="162"/>
      <c r="O46" s="162"/>
    </row>
    <row r="47" spans="3:15">
      <c r="C47" s="162"/>
      <c r="D47" s="162"/>
      <c r="E47" s="162"/>
      <c r="F47" s="162"/>
      <c r="G47" s="162"/>
      <c r="H47" s="162"/>
      <c r="I47" s="162"/>
      <c r="J47" s="162"/>
      <c r="K47" s="162"/>
      <c r="L47" s="162"/>
      <c r="M47" s="162"/>
      <c r="N47" s="162"/>
      <c r="O47" s="162"/>
    </row>
    <row r="48" spans="3:15">
      <c r="C48" s="162"/>
      <c r="D48" s="162"/>
      <c r="E48" s="162"/>
      <c r="F48" s="162"/>
      <c r="G48" s="162"/>
      <c r="H48" s="162"/>
      <c r="I48" s="162"/>
      <c r="J48" s="162"/>
      <c r="K48" s="162"/>
      <c r="L48" s="162"/>
      <c r="M48" s="162"/>
      <c r="N48" s="162"/>
      <c r="O48" s="162"/>
    </row>
    <row r="49" spans="3:15">
      <c r="C49" s="162"/>
      <c r="D49" s="162"/>
      <c r="E49" s="162"/>
      <c r="F49" s="162"/>
      <c r="G49" s="162"/>
      <c r="H49" s="162"/>
      <c r="I49" s="162"/>
      <c r="J49" s="162"/>
      <c r="K49" s="162"/>
      <c r="L49" s="162"/>
      <c r="M49" s="162"/>
      <c r="N49" s="162"/>
      <c r="O49" s="162"/>
    </row>
    <row r="50" spans="3:15">
      <c r="C50" s="162"/>
      <c r="D50" s="162"/>
      <c r="E50" s="162"/>
      <c r="F50" s="162"/>
      <c r="G50" s="162"/>
      <c r="H50" s="162"/>
      <c r="I50" s="162"/>
      <c r="J50" s="162"/>
      <c r="K50" s="162"/>
      <c r="L50" s="162"/>
      <c r="M50" s="162"/>
      <c r="N50" s="162"/>
      <c r="O50" s="162"/>
    </row>
    <row r="51" spans="3:15">
      <c r="C51" s="162"/>
      <c r="D51" s="162"/>
      <c r="E51" s="162"/>
      <c r="F51" s="162"/>
      <c r="G51" s="162"/>
      <c r="H51" s="162"/>
      <c r="I51" s="162"/>
      <c r="J51" s="162"/>
      <c r="K51" s="162"/>
      <c r="L51" s="162"/>
      <c r="M51" s="162"/>
      <c r="N51" s="162"/>
      <c r="O51" s="162"/>
    </row>
    <row r="52" spans="3:15">
      <c r="C52" s="162"/>
      <c r="D52" s="162"/>
      <c r="E52" s="162"/>
      <c r="F52" s="162"/>
      <c r="G52" s="162"/>
      <c r="H52" s="162"/>
      <c r="I52" s="162"/>
      <c r="J52" s="162"/>
      <c r="K52" s="162"/>
      <c r="L52" s="162"/>
      <c r="M52" s="162"/>
      <c r="N52" s="162"/>
      <c r="O52" s="162"/>
    </row>
    <row r="53" spans="3:15">
      <c r="C53" s="162"/>
      <c r="D53" s="162"/>
      <c r="E53" s="162"/>
      <c r="F53" s="162"/>
      <c r="G53" s="162"/>
      <c r="H53" s="162"/>
      <c r="I53" s="162"/>
      <c r="J53" s="162"/>
      <c r="K53" s="162"/>
      <c r="L53" s="162"/>
      <c r="M53" s="162"/>
      <c r="N53" s="162"/>
      <c r="O53" s="162"/>
    </row>
    <row r="54" spans="3:15">
      <c r="C54" s="162"/>
      <c r="D54" s="162"/>
      <c r="E54" s="162"/>
      <c r="F54" s="162"/>
      <c r="G54" s="162"/>
      <c r="H54" s="162"/>
      <c r="I54" s="162"/>
      <c r="J54" s="162"/>
      <c r="K54" s="162"/>
      <c r="L54" s="162"/>
      <c r="M54" s="162"/>
      <c r="N54" s="162"/>
      <c r="O54" s="162"/>
    </row>
    <row r="55" spans="3:15">
      <c r="C55" s="162"/>
      <c r="D55" s="162"/>
      <c r="E55" s="162"/>
      <c r="F55" s="162"/>
      <c r="G55" s="162"/>
      <c r="H55" s="162"/>
      <c r="I55" s="162"/>
      <c r="J55" s="162"/>
      <c r="K55" s="162"/>
      <c r="L55" s="162"/>
      <c r="M55" s="162"/>
      <c r="N55" s="162"/>
      <c r="O55" s="162"/>
    </row>
  </sheetData>
  <mergeCells count="3">
    <mergeCell ref="C9:K19"/>
    <mergeCell ref="C36:O55"/>
    <mergeCell ref="C31:O33"/>
  </mergeCells>
  <phoneticPr fontId="2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1CF0-B43E-4C27-96A5-BAAABEE92327}">
  <dimension ref="B2:BM221"/>
  <sheetViews>
    <sheetView tabSelected="1" zoomScale="70" zoomScaleNormal="70" workbookViewId="0">
      <selection activeCell="P18" sqref="P18"/>
    </sheetView>
  </sheetViews>
  <sheetFormatPr defaultColWidth="8.83203125" defaultRowHeight="17"/>
  <cols>
    <col min="1" max="1" width="8.83203125" style="1"/>
    <col min="2" max="2" width="10.5" style="1" bestFit="1" customWidth="1"/>
    <col min="3" max="3" width="39.6640625" style="1" customWidth="1"/>
    <col min="4" max="4" width="14.5" style="1" customWidth="1"/>
    <col min="5" max="5" width="15.1640625" style="1" customWidth="1"/>
    <col min="6" max="6" width="13.83203125" style="1" customWidth="1"/>
    <col min="7" max="7" width="14.1640625" style="1" customWidth="1"/>
    <col min="8" max="8" width="15.83203125" style="1" customWidth="1"/>
    <col min="9" max="9" width="15.6640625" style="1" customWidth="1"/>
    <col min="10" max="14" width="12.83203125" style="1" customWidth="1"/>
    <col min="15" max="15" width="15.33203125" style="1" customWidth="1"/>
    <col min="16" max="53" width="12.83203125" style="1" customWidth="1"/>
    <col min="54" max="16384" width="8.83203125" style="1"/>
  </cols>
  <sheetData>
    <row r="2" spans="2:65" ht="17.5" thickBot="1"/>
    <row r="3" spans="2:65">
      <c r="B3" s="4"/>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124"/>
    </row>
    <row r="4" spans="2:65" ht="38">
      <c r="B4" s="6"/>
      <c r="C4" s="158" t="s">
        <v>3</v>
      </c>
      <c r="BM4" s="125"/>
    </row>
    <row r="5" spans="2:65" ht="17" customHeight="1">
      <c r="B5" s="6"/>
      <c r="C5" s="146"/>
      <c r="BM5" s="125"/>
    </row>
    <row r="6" spans="2:65">
      <c r="B6" s="6"/>
      <c r="BM6" s="125"/>
    </row>
    <row r="7" spans="2:65" ht="17" customHeight="1">
      <c r="B7" s="26"/>
      <c r="C7" s="55" t="s">
        <v>6</v>
      </c>
      <c r="D7" s="84"/>
      <c r="E7" s="84"/>
      <c r="F7" s="84"/>
      <c r="G7" s="84"/>
      <c r="H7" s="84"/>
      <c r="I7" s="84"/>
      <c r="BM7" s="125"/>
    </row>
    <row r="8" spans="2:65">
      <c r="B8" s="26"/>
      <c r="C8" s="168" t="s">
        <v>268</v>
      </c>
      <c r="D8" s="168"/>
      <c r="E8" s="168"/>
      <c r="F8" s="168"/>
      <c r="G8" s="168"/>
      <c r="H8" s="168"/>
      <c r="I8" s="168"/>
      <c r="BM8" s="125"/>
    </row>
    <row r="9" spans="2:65">
      <c r="B9" s="26"/>
      <c r="C9" s="168"/>
      <c r="D9" s="168"/>
      <c r="E9" s="168"/>
      <c r="F9" s="168"/>
      <c r="G9" s="168"/>
      <c r="H9" s="168"/>
      <c r="I9" s="168"/>
      <c r="BM9" s="125"/>
    </row>
    <row r="10" spans="2:65">
      <c r="B10" s="26"/>
      <c r="C10" s="168"/>
      <c r="D10" s="168"/>
      <c r="E10" s="168"/>
      <c r="F10" s="168"/>
      <c r="G10" s="168"/>
      <c r="H10" s="168"/>
      <c r="I10" s="168"/>
      <c r="BM10" s="125"/>
    </row>
    <row r="11" spans="2:65">
      <c r="B11" s="6"/>
      <c r="C11" s="168"/>
      <c r="D11" s="168"/>
      <c r="E11" s="168"/>
      <c r="F11" s="168"/>
      <c r="G11" s="168"/>
      <c r="H11" s="168"/>
      <c r="I11" s="168"/>
      <c r="BM11" s="125"/>
    </row>
    <row r="12" spans="2:65">
      <c r="B12" s="6"/>
      <c r="C12" s="95" t="s">
        <v>7</v>
      </c>
      <c r="D12" s="118"/>
      <c r="E12" s="118"/>
      <c r="F12" s="118"/>
      <c r="G12" s="118"/>
      <c r="H12" s="118"/>
      <c r="I12" s="118"/>
      <c r="BM12" s="125"/>
    </row>
    <row r="13" spans="2:65">
      <c r="B13" s="6"/>
      <c r="C13" s="56" t="s">
        <v>8</v>
      </c>
      <c r="D13" s="118"/>
      <c r="E13" s="118"/>
      <c r="F13" s="118"/>
      <c r="G13" s="118"/>
      <c r="H13" s="118"/>
      <c r="I13" s="118"/>
      <c r="BM13" s="125"/>
    </row>
    <row r="14" spans="2:65">
      <c r="B14" s="6"/>
      <c r="C14" s="57" t="s">
        <v>9</v>
      </c>
      <c r="D14" s="118"/>
      <c r="E14" s="147"/>
      <c r="F14" s="118"/>
      <c r="G14" s="118"/>
      <c r="H14" s="118"/>
      <c r="I14" s="118"/>
      <c r="BM14" s="125"/>
    </row>
    <row r="15" spans="2:65">
      <c r="B15" s="6"/>
      <c r="C15" s="58" t="s">
        <v>10</v>
      </c>
      <c r="D15" s="118"/>
      <c r="E15" s="148"/>
      <c r="F15" s="118"/>
      <c r="G15" s="118"/>
      <c r="H15" s="118"/>
      <c r="I15" s="118"/>
      <c r="BM15" s="125"/>
    </row>
    <row r="16" spans="2:65">
      <c r="B16" s="6"/>
      <c r="BM16" s="125"/>
    </row>
    <row r="17" spans="2:65" ht="26">
      <c r="B17" s="6"/>
      <c r="M17" s="145" t="s">
        <v>18</v>
      </c>
      <c r="BM17" s="125"/>
    </row>
    <row r="18" spans="2:65" ht="17.5">
      <c r="B18" s="6"/>
      <c r="C18" s="9" t="s">
        <v>11</v>
      </c>
      <c r="E18" s="3" t="s">
        <v>12</v>
      </c>
      <c r="F18" s="3"/>
      <c r="G18" s="3"/>
      <c r="H18" s="3"/>
      <c r="I18" s="3" t="s">
        <v>13</v>
      </c>
      <c r="J18" s="3" t="s">
        <v>14</v>
      </c>
      <c r="BM18" s="125"/>
    </row>
    <row r="19" spans="2:65">
      <c r="B19" s="6"/>
      <c r="C19" s="167" t="s">
        <v>15</v>
      </c>
      <c r="E19" s="170" t="s">
        <v>251</v>
      </c>
      <c r="F19" s="171"/>
      <c r="G19" s="171"/>
      <c r="H19" s="172"/>
      <c r="I19" s="2" t="s">
        <v>16</v>
      </c>
      <c r="J19" s="31" t="s">
        <v>200</v>
      </c>
      <c r="L19" s="177"/>
      <c r="M19" s="171" t="s">
        <v>267</v>
      </c>
      <c r="N19" s="171"/>
      <c r="O19" s="172"/>
      <c r="P19" s="59">
        <f ca="1">IF(J32="","",(G220-G175)/G202)</f>
        <v>0.15677637142635109</v>
      </c>
      <c r="BM19" s="125"/>
    </row>
    <row r="20" spans="2:65" ht="15.5" customHeight="1">
      <c r="B20" s="6"/>
      <c r="C20" s="167"/>
      <c r="E20" s="170" t="s">
        <v>266</v>
      </c>
      <c r="F20" s="171"/>
      <c r="G20" s="171"/>
      <c r="H20" s="172"/>
      <c r="I20" s="2" t="s">
        <v>19</v>
      </c>
      <c r="J20" s="31">
        <v>100</v>
      </c>
      <c r="L20" s="177"/>
      <c r="M20" s="173" t="s">
        <v>23</v>
      </c>
      <c r="N20" s="173"/>
      <c r="O20" s="174"/>
      <c r="P20" s="137">
        <f ca="1">IF(J32="","",(G221-G175)/G202)</f>
        <v>0.12677637142635106</v>
      </c>
      <c r="BM20" s="125"/>
    </row>
    <row r="21" spans="2:65" ht="15.5" customHeight="1">
      <c r="B21" s="6"/>
      <c r="C21" s="167"/>
      <c r="E21" s="170" t="s">
        <v>211</v>
      </c>
      <c r="F21" s="171"/>
      <c r="G21" s="171"/>
      <c r="H21" s="172"/>
      <c r="I21" s="2" t="s">
        <v>20</v>
      </c>
      <c r="J21" s="31">
        <v>4</v>
      </c>
      <c r="L21" s="178"/>
      <c r="M21" s="175"/>
      <c r="N21" s="175"/>
      <c r="O21" s="175"/>
      <c r="P21" s="138"/>
      <c r="BM21" s="125"/>
    </row>
    <row r="22" spans="2:65" ht="15.5" customHeight="1">
      <c r="B22" s="6"/>
      <c r="C22" s="167"/>
      <c r="E22" s="170" t="str">
        <f>IF(OR(J19="Battery",J19="Hydrogen"), "Round Trip Efficiency (RTE) - DC", "Round Trip Efficiency (RTE)")</f>
        <v>Round Trip Efficiency (RTE)</v>
      </c>
      <c r="F22" s="171"/>
      <c r="G22" s="171"/>
      <c r="H22" s="172"/>
      <c r="I22" s="2" t="s">
        <v>22</v>
      </c>
      <c r="J22" s="32">
        <v>0.52</v>
      </c>
      <c r="L22" s="178"/>
      <c r="M22" s="176"/>
      <c r="N22" s="176"/>
      <c r="O22" s="176"/>
      <c r="P22" s="150"/>
      <c r="BM22" s="125"/>
    </row>
    <row r="23" spans="2:65" ht="15.5" customHeight="1">
      <c r="B23" s="6"/>
      <c r="C23" s="167"/>
      <c r="E23" s="170" t="s">
        <v>24</v>
      </c>
      <c r="F23" s="171"/>
      <c r="G23" s="171"/>
      <c r="H23" s="172"/>
      <c r="I23" s="2" t="s">
        <v>22</v>
      </c>
      <c r="J23" s="32">
        <v>0.8</v>
      </c>
      <c r="BM23" s="125"/>
    </row>
    <row r="24" spans="2:65" ht="15.5" customHeight="1">
      <c r="B24" s="6"/>
      <c r="C24" s="167"/>
      <c r="E24" s="170" t="s">
        <v>25</v>
      </c>
      <c r="F24" s="171"/>
      <c r="G24" s="171"/>
      <c r="H24" s="172"/>
      <c r="I24" s="2" t="s">
        <v>26</v>
      </c>
      <c r="J24" s="31"/>
      <c r="BM24" s="125"/>
    </row>
    <row r="25" spans="2:65" ht="15.5" customHeight="1">
      <c r="B25" s="6"/>
      <c r="C25" s="167"/>
      <c r="E25" s="170" t="s">
        <v>27</v>
      </c>
      <c r="F25" s="171"/>
      <c r="G25" s="171"/>
      <c r="H25" s="172"/>
      <c r="I25" s="2" t="s">
        <v>26</v>
      </c>
      <c r="J25" s="31"/>
      <c r="BM25" s="125"/>
    </row>
    <row r="26" spans="2:65" ht="15.5" customHeight="1">
      <c r="B26" s="6"/>
      <c r="C26" s="167"/>
      <c r="E26" s="170" t="s">
        <v>28</v>
      </c>
      <c r="F26" s="171"/>
      <c r="G26" s="171"/>
      <c r="H26" s="172"/>
      <c r="I26" s="2" t="s">
        <v>29</v>
      </c>
      <c r="J26" s="31"/>
      <c r="BM26" s="125"/>
    </row>
    <row r="27" spans="2:65" ht="15.5" customHeight="1">
      <c r="B27" s="6"/>
      <c r="C27" s="167"/>
      <c r="E27" s="140" t="s">
        <v>208</v>
      </c>
      <c r="F27" s="141"/>
      <c r="G27" s="141"/>
      <c r="H27" s="142"/>
      <c r="I27" s="2" t="s">
        <v>30</v>
      </c>
      <c r="J27" s="31">
        <v>60</v>
      </c>
      <c r="BM27" s="125"/>
    </row>
    <row r="28" spans="2:65" ht="15.5" customHeight="1">
      <c r="B28" s="6"/>
      <c r="C28" s="167"/>
      <c r="E28" s="170" t="s">
        <v>153</v>
      </c>
      <c r="F28" s="171"/>
      <c r="G28" s="171"/>
      <c r="H28" s="172"/>
      <c r="I28" s="2" t="s">
        <v>30</v>
      </c>
      <c r="J28" s="31">
        <v>60</v>
      </c>
      <c r="BM28" s="125"/>
    </row>
    <row r="29" spans="2:65" ht="17.5">
      <c r="B29" s="6"/>
      <c r="C29" s="9"/>
      <c r="E29" s="2" t="s">
        <v>261</v>
      </c>
      <c r="F29" s="2"/>
      <c r="G29" s="2"/>
      <c r="H29" s="2"/>
      <c r="I29" s="2" t="s">
        <v>29</v>
      </c>
      <c r="J29" s="31">
        <v>365</v>
      </c>
      <c r="BM29" s="125"/>
    </row>
    <row r="30" spans="2:65" ht="17.5">
      <c r="B30" s="6"/>
      <c r="C30" s="9"/>
      <c r="BM30" s="125"/>
    </row>
    <row r="31" spans="2:65" ht="17.5">
      <c r="B31" s="6"/>
      <c r="C31" s="9" t="s">
        <v>202</v>
      </c>
      <c r="E31" s="3" t="s">
        <v>31</v>
      </c>
      <c r="F31" s="3"/>
      <c r="G31" s="3"/>
      <c r="H31" s="3"/>
      <c r="I31" s="3" t="s">
        <v>13</v>
      </c>
      <c r="J31" s="3" t="s">
        <v>14</v>
      </c>
      <c r="BM31" s="125"/>
    </row>
    <row r="32" spans="2:65" ht="14.5" customHeight="1">
      <c r="B32" s="6"/>
      <c r="C32" s="167" t="s">
        <v>254</v>
      </c>
      <c r="E32" s="170" t="s">
        <v>253</v>
      </c>
      <c r="F32" s="171"/>
      <c r="G32" s="171"/>
      <c r="H32" s="172"/>
      <c r="I32" s="2" t="s">
        <v>32</v>
      </c>
      <c r="J32" s="33">
        <v>1221.6600000000001</v>
      </c>
      <c r="K32" s="151"/>
      <c r="BM32" s="125"/>
    </row>
    <row r="33" spans="2:65" ht="15.5" customHeight="1">
      <c r="B33" s="6"/>
      <c r="C33" s="167"/>
      <c r="E33" s="170" t="s">
        <v>33</v>
      </c>
      <c r="F33" s="171"/>
      <c r="G33" s="171"/>
      <c r="H33" s="172"/>
      <c r="I33" s="2" t="s">
        <v>34</v>
      </c>
      <c r="J33" s="33">
        <v>18.72</v>
      </c>
      <c r="BM33" s="125"/>
    </row>
    <row r="34" spans="2:65" ht="15.5" customHeight="1">
      <c r="B34" s="6"/>
      <c r="C34" s="167"/>
      <c r="E34" s="170" t="s">
        <v>35</v>
      </c>
      <c r="F34" s="171"/>
      <c r="G34" s="171"/>
      <c r="H34" s="172"/>
      <c r="I34" s="2" t="s">
        <v>36</v>
      </c>
      <c r="J34" s="38"/>
      <c r="BM34" s="125"/>
    </row>
    <row r="35" spans="2:65" ht="15.5" customHeight="1">
      <c r="B35" s="6"/>
      <c r="C35" s="167"/>
      <c r="E35" s="44"/>
      <c r="F35" s="44"/>
      <c r="G35" s="44"/>
      <c r="H35" s="44"/>
      <c r="J35" s="45"/>
      <c r="BM35" s="125"/>
    </row>
    <row r="36" spans="2:65" ht="15.5" customHeight="1">
      <c r="B36" s="6"/>
      <c r="C36" s="84"/>
      <c r="E36" s="44"/>
      <c r="F36" s="44"/>
      <c r="G36" s="44"/>
      <c r="H36" s="44"/>
      <c r="J36" s="45"/>
      <c r="BM36" s="125"/>
    </row>
    <row r="37" spans="2:65" ht="15.5" customHeight="1">
      <c r="B37" s="6"/>
      <c r="C37" s="9" t="s">
        <v>37</v>
      </c>
      <c r="E37" s="3" t="s">
        <v>38</v>
      </c>
      <c r="J37" s="1" t="s">
        <v>39</v>
      </c>
      <c r="BM37" s="125"/>
    </row>
    <row r="38" spans="2:65" ht="15.5" customHeight="1">
      <c r="B38" s="6"/>
      <c r="C38" s="167" t="s">
        <v>250</v>
      </c>
      <c r="E38" s="170" t="s">
        <v>40</v>
      </c>
      <c r="F38" s="171"/>
      <c r="G38" s="171"/>
      <c r="H38" s="171"/>
      <c r="I38" s="172"/>
      <c r="J38" s="31" t="s">
        <v>41</v>
      </c>
      <c r="BM38" s="125"/>
    </row>
    <row r="39" spans="2:65" ht="15.5" customHeight="1">
      <c r="B39" s="6"/>
      <c r="C39" s="167"/>
      <c r="E39" s="170" t="s">
        <v>42</v>
      </c>
      <c r="F39" s="171"/>
      <c r="G39" s="171"/>
      <c r="H39" s="171"/>
      <c r="I39" s="172"/>
      <c r="J39" s="31" t="s">
        <v>41</v>
      </c>
      <c r="BM39" s="125"/>
    </row>
    <row r="40" spans="2:65" ht="15.5" customHeight="1">
      <c r="B40" s="6"/>
      <c r="C40" s="167"/>
      <c r="E40" s="179" t="s">
        <v>43</v>
      </c>
      <c r="F40" s="180"/>
      <c r="G40" s="180"/>
      <c r="H40" s="180"/>
      <c r="I40" s="181"/>
      <c r="J40" s="31" t="s">
        <v>41</v>
      </c>
      <c r="BM40" s="125"/>
    </row>
    <row r="41" spans="2:65" ht="15.5" customHeight="1">
      <c r="B41" s="6"/>
      <c r="C41" s="167"/>
      <c r="BM41" s="125"/>
    </row>
    <row r="42" spans="2:65" ht="15.5" customHeight="1">
      <c r="B42" s="6"/>
      <c r="C42" s="167"/>
      <c r="BM42" s="125"/>
    </row>
    <row r="43" spans="2:65" ht="15.5" customHeight="1">
      <c r="B43" s="6"/>
      <c r="C43" s="118"/>
      <c r="BM43" s="125"/>
    </row>
    <row r="44" spans="2:65" ht="15.5" customHeight="1">
      <c r="B44" s="6"/>
      <c r="C44" s="9" t="s">
        <v>270</v>
      </c>
      <c r="BM44" s="125"/>
    </row>
    <row r="45" spans="2:65" ht="15.5" customHeight="1">
      <c r="B45" s="6"/>
      <c r="C45" s="167" t="s">
        <v>284</v>
      </c>
      <c r="D45" s="167"/>
      <c r="E45" s="167"/>
      <c r="F45" s="167"/>
      <c r="G45" s="167"/>
      <c r="H45" s="167"/>
      <c r="I45" s="167"/>
      <c r="J45" s="167"/>
      <c r="BM45" s="125"/>
    </row>
    <row r="46" spans="2:65" ht="15.5" customHeight="1">
      <c r="B46" s="6"/>
      <c r="C46" s="167"/>
      <c r="D46" s="167"/>
      <c r="E46" s="167"/>
      <c r="F46" s="167"/>
      <c r="G46" s="167"/>
      <c r="H46" s="167"/>
      <c r="I46" s="167"/>
      <c r="J46" s="167"/>
      <c r="BM46" s="125"/>
    </row>
    <row r="47" spans="2:65">
      <c r="B47" s="6"/>
      <c r="D47" s="14" t="s">
        <v>44</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6"/>
      <c r="BM47" s="125"/>
    </row>
    <row r="48" spans="2:65">
      <c r="B48" s="6"/>
      <c r="C48" s="139"/>
      <c r="D48" s="30">
        <v>0</v>
      </c>
      <c r="E48" s="30">
        <v>1</v>
      </c>
      <c r="F48" s="30">
        <v>2</v>
      </c>
      <c r="G48" s="30">
        <v>3</v>
      </c>
      <c r="H48" s="30">
        <v>4</v>
      </c>
      <c r="I48" s="30">
        <v>5</v>
      </c>
      <c r="J48" s="30">
        <v>6</v>
      </c>
      <c r="K48" s="30">
        <v>7</v>
      </c>
      <c r="L48" s="30">
        <v>8</v>
      </c>
      <c r="M48" s="30">
        <v>9</v>
      </c>
      <c r="N48" s="30">
        <v>10</v>
      </c>
      <c r="O48" s="30">
        <v>11</v>
      </c>
      <c r="P48" s="30">
        <v>12</v>
      </c>
      <c r="Q48" s="30">
        <v>13</v>
      </c>
      <c r="R48" s="30">
        <v>14</v>
      </c>
      <c r="S48" s="30">
        <v>15</v>
      </c>
      <c r="T48" s="30">
        <v>16</v>
      </c>
      <c r="U48" s="30">
        <v>17</v>
      </c>
      <c r="V48" s="30">
        <v>18</v>
      </c>
      <c r="W48" s="30">
        <v>19</v>
      </c>
      <c r="X48" s="30">
        <v>20</v>
      </c>
      <c r="Y48" s="30">
        <v>21</v>
      </c>
      <c r="Z48" s="30">
        <v>22</v>
      </c>
      <c r="AA48" s="30">
        <v>23</v>
      </c>
      <c r="AB48" s="30">
        <v>24</v>
      </c>
      <c r="AC48" s="30">
        <v>25</v>
      </c>
      <c r="AD48" s="30">
        <v>26</v>
      </c>
      <c r="AE48" s="30">
        <v>27</v>
      </c>
      <c r="AF48" s="30">
        <v>28</v>
      </c>
      <c r="AG48" s="30">
        <v>29</v>
      </c>
      <c r="AH48" s="30">
        <v>30</v>
      </c>
      <c r="AI48" s="30">
        <v>31</v>
      </c>
      <c r="AJ48" s="30">
        <v>32</v>
      </c>
      <c r="AK48" s="30">
        <v>33</v>
      </c>
      <c r="AL48" s="30">
        <v>34</v>
      </c>
      <c r="AM48" s="30">
        <v>35</v>
      </c>
      <c r="AN48" s="30">
        <v>36</v>
      </c>
      <c r="AO48" s="30">
        <v>37</v>
      </c>
      <c r="AP48" s="30">
        <v>38</v>
      </c>
      <c r="AQ48" s="30">
        <v>39</v>
      </c>
      <c r="AR48" s="30">
        <v>40</v>
      </c>
      <c r="AS48" s="30">
        <v>41</v>
      </c>
      <c r="AT48" s="30">
        <v>42</v>
      </c>
      <c r="AU48" s="30">
        <v>43</v>
      </c>
      <c r="AV48" s="30">
        <v>44</v>
      </c>
      <c r="AW48" s="30">
        <v>45</v>
      </c>
      <c r="AX48" s="30">
        <v>46</v>
      </c>
      <c r="AY48" s="30">
        <v>47</v>
      </c>
      <c r="AZ48" s="30">
        <v>48</v>
      </c>
      <c r="BA48" s="30">
        <v>49</v>
      </c>
      <c r="BB48" s="30">
        <v>50</v>
      </c>
      <c r="BC48" s="30">
        <v>51</v>
      </c>
      <c r="BD48" s="30">
        <v>52</v>
      </c>
      <c r="BE48" s="30">
        <v>53</v>
      </c>
      <c r="BF48" s="30">
        <v>54</v>
      </c>
      <c r="BG48" s="30">
        <v>55</v>
      </c>
      <c r="BH48" s="30">
        <v>56</v>
      </c>
      <c r="BI48" s="30">
        <v>57</v>
      </c>
      <c r="BJ48" s="30">
        <v>58</v>
      </c>
      <c r="BK48" s="30">
        <v>59</v>
      </c>
      <c r="BL48" s="121">
        <v>60</v>
      </c>
      <c r="BM48" s="125"/>
    </row>
    <row r="49" spans="2:65">
      <c r="B49" s="6"/>
      <c r="C49" s="23"/>
      <c r="E49" s="119"/>
      <c r="F49" s="119"/>
      <c r="G49" s="119"/>
      <c r="H49" s="119"/>
      <c r="I49" s="120"/>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25"/>
    </row>
    <row r="50" spans="2:65">
      <c r="B50" s="6"/>
      <c r="C50" s="27" t="s">
        <v>46</v>
      </c>
      <c r="D50" s="122"/>
      <c r="E50" s="111">
        <f t="shared" ref="E50:AJ50" si="0">(SUM(E49)/((1+WACC_real)^(E48)))</f>
        <v>0</v>
      </c>
      <c r="F50" s="111">
        <f t="shared" si="0"/>
        <v>0</v>
      </c>
      <c r="G50" s="111">
        <f t="shared" si="0"/>
        <v>0</v>
      </c>
      <c r="H50" s="111">
        <f t="shared" si="0"/>
        <v>0</v>
      </c>
      <c r="I50" s="111">
        <f t="shared" si="0"/>
        <v>0</v>
      </c>
      <c r="J50" s="111">
        <f t="shared" si="0"/>
        <v>0</v>
      </c>
      <c r="K50" s="111">
        <f t="shared" si="0"/>
        <v>0</v>
      </c>
      <c r="L50" s="111">
        <f t="shared" si="0"/>
        <v>0</v>
      </c>
      <c r="M50" s="111">
        <f t="shared" si="0"/>
        <v>0</v>
      </c>
      <c r="N50" s="111">
        <f t="shared" si="0"/>
        <v>0</v>
      </c>
      <c r="O50" s="111">
        <f t="shared" si="0"/>
        <v>0</v>
      </c>
      <c r="P50" s="111">
        <f t="shared" si="0"/>
        <v>0</v>
      </c>
      <c r="Q50" s="111">
        <f t="shared" si="0"/>
        <v>0</v>
      </c>
      <c r="R50" s="111">
        <f t="shared" si="0"/>
        <v>0</v>
      </c>
      <c r="S50" s="111">
        <f t="shared" si="0"/>
        <v>0</v>
      </c>
      <c r="T50" s="111">
        <f t="shared" si="0"/>
        <v>0</v>
      </c>
      <c r="U50" s="111">
        <f t="shared" si="0"/>
        <v>0</v>
      </c>
      <c r="V50" s="111">
        <f t="shared" si="0"/>
        <v>0</v>
      </c>
      <c r="W50" s="111">
        <f t="shared" si="0"/>
        <v>0</v>
      </c>
      <c r="X50" s="111">
        <f t="shared" si="0"/>
        <v>0</v>
      </c>
      <c r="Y50" s="111">
        <f t="shared" si="0"/>
        <v>0</v>
      </c>
      <c r="Z50" s="111">
        <f t="shared" si="0"/>
        <v>0</v>
      </c>
      <c r="AA50" s="111">
        <f t="shared" si="0"/>
        <v>0</v>
      </c>
      <c r="AB50" s="111">
        <f t="shared" si="0"/>
        <v>0</v>
      </c>
      <c r="AC50" s="111">
        <f t="shared" si="0"/>
        <v>0</v>
      </c>
      <c r="AD50" s="111">
        <f t="shared" si="0"/>
        <v>0</v>
      </c>
      <c r="AE50" s="111">
        <f t="shared" si="0"/>
        <v>0</v>
      </c>
      <c r="AF50" s="111">
        <f t="shared" si="0"/>
        <v>0</v>
      </c>
      <c r="AG50" s="111">
        <f t="shared" si="0"/>
        <v>0</v>
      </c>
      <c r="AH50" s="111">
        <f t="shared" si="0"/>
        <v>0</v>
      </c>
      <c r="AI50" s="111">
        <f t="shared" si="0"/>
        <v>0</v>
      </c>
      <c r="AJ50" s="111">
        <f t="shared" si="0"/>
        <v>0</v>
      </c>
      <c r="AK50" s="111">
        <f t="shared" ref="AK50:BL50" si="1">(SUM(AK49)/((1+WACC_real)^(AK48)))</f>
        <v>0</v>
      </c>
      <c r="AL50" s="111">
        <f t="shared" si="1"/>
        <v>0</v>
      </c>
      <c r="AM50" s="111">
        <f t="shared" si="1"/>
        <v>0</v>
      </c>
      <c r="AN50" s="111">
        <f t="shared" si="1"/>
        <v>0</v>
      </c>
      <c r="AO50" s="111">
        <f t="shared" si="1"/>
        <v>0</v>
      </c>
      <c r="AP50" s="111">
        <f t="shared" si="1"/>
        <v>0</v>
      </c>
      <c r="AQ50" s="111">
        <f t="shared" si="1"/>
        <v>0</v>
      </c>
      <c r="AR50" s="111">
        <f t="shared" si="1"/>
        <v>0</v>
      </c>
      <c r="AS50" s="111">
        <f t="shared" si="1"/>
        <v>0</v>
      </c>
      <c r="AT50" s="111">
        <f t="shared" si="1"/>
        <v>0</v>
      </c>
      <c r="AU50" s="111">
        <f t="shared" si="1"/>
        <v>0</v>
      </c>
      <c r="AV50" s="111">
        <f t="shared" si="1"/>
        <v>0</v>
      </c>
      <c r="AW50" s="111">
        <f t="shared" si="1"/>
        <v>0</v>
      </c>
      <c r="AX50" s="111">
        <f t="shared" si="1"/>
        <v>0</v>
      </c>
      <c r="AY50" s="111">
        <f t="shared" si="1"/>
        <v>0</v>
      </c>
      <c r="AZ50" s="111">
        <f t="shared" si="1"/>
        <v>0</v>
      </c>
      <c r="BA50" s="111">
        <f t="shared" si="1"/>
        <v>0</v>
      </c>
      <c r="BB50" s="111">
        <f t="shared" si="1"/>
        <v>0</v>
      </c>
      <c r="BC50" s="111">
        <f t="shared" si="1"/>
        <v>0</v>
      </c>
      <c r="BD50" s="111">
        <f t="shared" si="1"/>
        <v>0</v>
      </c>
      <c r="BE50" s="111">
        <f t="shared" si="1"/>
        <v>0</v>
      </c>
      <c r="BF50" s="111">
        <f t="shared" si="1"/>
        <v>0</v>
      </c>
      <c r="BG50" s="111">
        <f t="shared" si="1"/>
        <v>0</v>
      </c>
      <c r="BH50" s="111">
        <f t="shared" si="1"/>
        <v>0</v>
      </c>
      <c r="BI50" s="111">
        <f t="shared" si="1"/>
        <v>0</v>
      </c>
      <c r="BJ50" s="111">
        <f t="shared" si="1"/>
        <v>0</v>
      </c>
      <c r="BK50" s="111">
        <f t="shared" si="1"/>
        <v>0</v>
      </c>
      <c r="BL50" s="111">
        <f t="shared" si="1"/>
        <v>0</v>
      </c>
      <c r="BM50" s="125"/>
    </row>
    <row r="51" spans="2:65">
      <c r="B51" s="6"/>
      <c r="C51" s="27"/>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125"/>
    </row>
    <row r="52" spans="2:65">
      <c r="B52" s="6"/>
      <c r="C52" s="27" t="s">
        <v>47</v>
      </c>
      <c r="D52" s="111">
        <f>SUM(D50:BL50)</f>
        <v>0</v>
      </c>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125"/>
    </row>
    <row r="53" spans="2:65">
      <c r="B53" s="6"/>
      <c r="C53" s="27"/>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125"/>
    </row>
    <row r="54" spans="2:65" ht="15.5" customHeight="1">
      <c r="B54" s="6"/>
      <c r="C54" s="84"/>
      <c r="E54" s="44"/>
      <c r="F54" s="44"/>
      <c r="G54" s="44"/>
      <c r="H54" s="44"/>
      <c r="J54" s="45"/>
      <c r="BM54" s="125"/>
    </row>
    <row r="55" spans="2:65" ht="15.5" customHeight="1">
      <c r="B55" s="6"/>
      <c r="C55" s="9" t="s">
        <v>269</v>
      </c>
      <c r="BM55" s="125"/>
    </row>
    <row r="56" spans="2:65" ht="15.5" customHeight="1">
      <c r="B56" s="6"/>
      <c r="C56" s="167" t="s">
        <v>285</v>
      </c>
      <c r="D56" s="167"/>
      <c r="E56" s="167"/>
      <c r="F56" s="167"/>
      <c r="G56" s="167"/>
      <c r="H56" s="167"/>
      <c r="I56" s="167"/>
      <c r="J56" s="167"/>
      <c r="K56" s="167"/>
      <c r="L56" s="167"/>
      <c r="M56" s="167"/>
      <c r="N56" s="167"/>
      <c r="BM56" s="125"/>
    </row>
    <row r="57" spans="2:65">
      <c r="B57" s="6"/>
      <c r="C57" s="167"/>
      <c r="D57" s="167"/>
      <c r="E57" s="167"/>
      <c r="F57" s="167"/>
      <c r="G57" s="167"/>
      <c r="H57" s="167"/>
      <c r="I57" s="167"/>
      <c r="J57" s="167"/>
      <c r="K57" s="167"/>
      <c r="L57" s="167"/>
      <c r="M57" s="167"/>
      <c r="N57" s="167"/>
      <c r="BM57" s="125"/>
    </row>
    <row r="58" spans="2:65">
      <c r="B58" s="6"/>
      <c r="C58" s="167"/>
      <c r="D58" s="167"/>
      <c r="E58" s="167"/>
      <c r="F58" s="167"/>
      <c r="G58" s="167"/>
      <c r="H58" s="167"/>
      <c r="I58" s="167"/>
      <c r="J58" s="167"/>
      <c r="K58" s="167"/>
      <c r="L58" s="167"/>
      <c r="M58" s="167"/>
      <c r="N58" s="167"/>
      <c r="BM58" s="125"/>
    </row>
    <row r="59" spans="2:65">
      <c r="B59" s="6"/>
      <c r="C59" s="167"/>
      <c r="D59" s="167"/>
      <c r="E59" s="167"/>
      <c r="F59" s="167"/>
      <c r="G59" s="167"/>
      <c r="H59" s="167"/>
      <c r="I59" s="167"/>
      <c r="J59" s="167"/>
      <c r="K59" s="167"/>
      <c r="L59" s="167"/>
      <c r="M59" s="167"/>
      <c r="N59" s="167"/>
      <c r="BM59" s="125"/>
    </row>
    <row r="60" spans="2:65">
      <c r="B60" s="6"/>
      <c r="C60" s="118"/>
      <c r="D60" s="149" t="str">
        <f>IF(J26="","","Suggested storage block replacement timestep (yrs) if not augmenting:")</f>
        <v/>
      </c>
      <c r="E60" s="118"/>
      <c r="F60" s="118"/>
      <c r="G60" s="152" t="str">
        <f>IF(OR(J26="",J19&lt;&gt;"Battery"),"",MIN(J27,ROUND(J26/I105,0)))</f>
        <v/>
      </c>
      <c r="H60" s="118"/>
      <c r="I60" s="118"/>
      <c r="J60" s="118"/>
      <c r="K60" s="118"/>
      <c r="L60" s="118"/>
      <c r="M60" s="118"/>
      <c r="N60" s="118"/>
      <c r="BM60" s="125"/>
    </row>
    <row r="61" spans="2:65" ht="17.5">
      <c r="B61" s="6"/>
      <c r="C61" s="9"/>
      <c r="BM61" s="125"/>
    </row>
    <row r="62" spans="2:65">
      <c r="B62" s="6"/>
      <c r="D62" s="14" t="s">
        <v>44</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6"/>
      <c r="BM62" s="125"/>
    </row>
    <row r="63" spans="2:65">
      <c r="B63" s="6"/>
      <c r="C63" s="3" t="s">
        <v>45</v>
      </c>
      <c r="D63" s="29">
        <v>0</v>
      </c>
      <c r="E63" s="30">
        <v>1</v>
      </c>
      <c r="F63" s="30">
        <v>2</v>
      </c>
      <c r="G63" s="30">
        <v>3</v>
      </c>
      <c r="H63" s="30">
        <v>4</v>
      </c>
      <c r="I63" s="30">
        <v>5</v>
      </c>
      <c r="J63" s="30">
        <v>6</v>
      </c>
      <c r="K63" s="30">
        <v>7</v>
      </c>
      <c r="L63" s="30">
        <v>8</v>
      </c>
      <c r="M63" s="30">
        <v>9</v>
      </c>
      <c r="N63" s="30">
        <v>10</v>
      </c>
      <c r="O63" s="30">
        <v>11</v>
      </c>
      <c r="P63" s="30">
        <v>12</v>
      </c>
      <c r="Q63" s="30">
        <v>13</v>
      </c>
      <c r="R63" s="30">
        <v>14</v>
      </c>
      <c r="S63" s="30">
        <v>15</v>
      </c>
      <c r="T63" s="30">
        <v>16</v>
      </c>
      <c r="U63" s="30">
        <v>17</v>
      </c>
      <c r="V63" s="30">
        <v>18</v>
      </c>
      <c r="W63" s="30">
        <v>19</v>
      </c>
      <c r="X63" s="30">
        <v>20</v>
      </c>
      <c r="Y63" s="30">
        <v>21</v>
      </c>
      <c r="Z63" s="30">
        <v>22</v>
      </c>
      <c r="AA63" s="30">
        <v>23</v>
      </c>
      <c r="AB63" s="30">
        <v>24</v>
      </c>
      <c r="AC63" s="30">
        <v>25</v>
      </c>
      <c r="AD63" s="30">
        <v>26</v>
      </c>
      <c r="AE63" s="30">
        <v>27</v>
      </c>
      <c r="AF63" s="30">
        <v>28</v>
      </c>
      <c r="AG63" s="30">
        <v>29</v>
      </c>
      <c r="AH63" s="30">
        <v>30</v>
      </c>
      <c r="AI63" s="30">
        <v>31</v>
      </c>
      <c r="AJ63" s="30">
        <v>32</v>
      </c>
      <c r="AK63" s="30">
        <v>33</v>
      </c>
      <c r="AL63" s="30">
        <v>34</v>
      </c>
      <c r="AM63" s="30">
        <v>35</v>
      </c>
      <c r="AN63" s="30">
        <v>36</v>
      </c>
      <c r="AO63" s="30">
        <v>37</v>
      </c>
      <c r="AP63" s="30">
        <v>38</v>
      </c>
      <c r="AQ63" s="30">
        <v>39</v>
      </c>
      <c r="AR63" s="30">
        <v>40</v>
      </c>
      <c r="AS63" s="30">
        <v>41</v>
      </c>
      <c r="AT63" s="30">
        <v>42</v>
      </c>
      <c r="AU63" s="30">
        <v>43</v>
      </c>
      <c r="AV63" s="30">
        <v>44</v>
      </c>
      <c r="AW63" s="30">
        <v>45</v>
      </c>
      <c r="AX63" s="30">
        <v>46</v>
      </c>
      <c r="AY63" s="30">
        <v>47</v>
      </c>
      <c r="AZ63" s="30">
        <v>48</v>
      </c>
      <c r="BA63" s="30">
        <v>49</v>
      </c>
      <c r="BB63" s="30">
        <v>50</v>
      </c>
      <c r="BC63" s="30">
        <v>51</v>
      </c>
      <c r="BD63" s="30">
        <v>52</v>
      </c>
      <c r="BE63" s="30">
        <v>53</v>
      </c>
      <c r="BF63" s="30">
        <v>54</v>
      </c>
      <c r="BG63" s="30">
        <v>55</v>
      </c>
      <c r="BH63" s="30">
        <v>56</v>
      </c>
      <c r="BI63" s="30">
        <v>57</v>
      </c>
      <c r="BJ63" s="30">
        <v>58</v>
      </c>
      <c r="BK63" s="30">
        <v>59</v>
      </c>
      <c r="BL63" s="121">
        <v>60</v>
      </c>
      <c r="BM63" s="125"/>
    </row>
    <row r="64" spans="2:65">
      <c r="B64" s="6"/>
      <c r="C64" s="2"/>
      <c r="D64" s="190"/>
      <c r="E64" s="119"/>
      <c r="F64" s="119"/>
      <c r="G64" s="119"/>
      <c r="H64" s="119"/>
      <c r="I64" s="120"/>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25"/>
    </row>
    <row r="65" spans="2:65">
      <c r="B65" s="6"/>
      <c r="C65" s="2"/>
      <c r="D65" s="191"/>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125"/>
    </row>
    <row r="66" spans="2:65">
      <c r="B66" s="6"/>
      <c r="C66" s="2"/>
      <c r="D66" s="191"/>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125"/>
    </row>
    <row r="67" spans="2:65">
      <c r="B67" s="6"/>
      <c r="C67" s="2"/>
      <c r="D67" s="191"/>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125"/>
    </row>
    <row r="68" spans="2:65">
      <c r="B68" s="6"/>
      <c r="C68" s="2"/>
      <c r="D68" s="191"/>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125"/>
    </row>
    <row r="69" spans="2:65">
      <c r="B69" s="6"/>
      <c r="C69" s="2"/>
      <c r="D69" s="191"/>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125"/>
    </row>
    <row r="70" spans="2:65">
      <c r="B70" s="6"/>
      <c r="C70" s="2"/>
      <c r="D70" s="191"/>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125"/>
    </row>
    <row r="71" spans="2:65">
      <c r="B71" s="6"/>
      <c r="C71" s="2"/>
      <c r="D71" s="192"/>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125"/>
    </row>
    <row r="72" spans="2:65">
      <c r="B72" s="6"/>
      <c r="C72" s="27" t="s">
        <v>46</v>
      </c>
      <c r="D72" s="122"/>
      <c r="E72" s="111">
        <f>(SUM(E64:E71)/((1+WACC_real)^(E63)))</f>
        <v>0</v>
      </c>
      <c r="F72" s="111">
        <f>IF(F63=" "," ",SUM('LCOS Calculator'!F64:F71)/((1+WACC_real)^('LCOS Calculator'!F63)))</f>
        <v>0</v>
      </c>
      <c r="G72" s="111">
        <f>IF(G63=" "," ",SUM('LCOS Calculator'!G64:G71)/((1+WACC_real)^('LCOS Calculator'!G63)))</f>
        <v>0</v>
      </c>
      <c r="H72" s="111">
        <f>IF(H63=" "," ",SUM('LCOS Calculator'!H64:H71)/((1+WACC_real)^('LCOS Calculator'!H63)))</f>
        <v>0</v>
      </c>
      <c r="I72" s="111">
        <f>IF(I63=" "," ",SUM('LCOS Calculator'!I64:I71)/((1+WACC_real)^('LCOS Calculator'!I63)))</f>
        <v>0</v>
      </c>
      <c r="J72" s="111">
        <f>IF(J63=" "," ",SUM('LCOS Calculator'!J64:J71)/((1+WACC_real)^('LCOS Calculator'!J63)))</f>
        <v>0</v>
      </c>
      <c r="K72" s="111">
        <f>IF(K63=" "," ",SUM('LCOS Calculator'!K64:K71)/((1+WACC_real)^('LCOS Calculator'!K63)))</f>
        <v>0</v>
      </c>
      <c r="L72" s="111">
        <f>IF(L63=" "," ",SUM('LCOS Calculator'!L64:L71)/((1+WACC_real)^('LCOS Calculator'!L63)))</f>
        <v>0</v>
      </c>
      <c r="M72" s="111">
        <f>IF(M63=" "," ",SUM('LCOS Calculator'!M64:M71)/((1+WACC_real)^('LCOS Calculator'!M63)))</f>
        <v>0</v>
      </c>
      <c r="N72" s="111">
        <f>IF(N63=" "," ",SUM('LCOS Calculator'!N64:N71)/((1+WACC_real)^('LCOS Calculator'!N63)))</f>
        <v>0</v>
      </c>
      <c r="O72" s="111">
        <f>IF(O63=" "," ",SUM('LCOS Calculator'!O64:O71)/((1+WACC_real)^('LCOS Calculator'!O63)))</f>
        <v>0</v>
      </c>
      <c r="P72" s="111">
        <f>IF(P63=" "," ",SUM('LCOS Calculator'!P64:P71)/((1+WACC_real)^('LCOS Calculator'!P63)))</f>
        <v>0</v>
      </c>
      <c r="Q72" s="111">
        <f>IF(Q63=" "," ",SUM('LCOS Calculator'!Q64:Q71)/((1+WACC_real)^('LCOS Calculator'!Q63)))</f>
        <v>0</v>
      </c>
      <c r="R72" s="111">
        <f>IF(R63=" "," ",SUM('LCOS Calculator'!R64:R71)/((1+WACC_real)^('LCOS Calculator'!R63)))</f>
        <v>0</v>
      </c>
      <c r="S72" s="111">
        <f>IF(S63=" "," ",SUM('LCOS Calculator'!S64:S71)/((1+WACC_real)^('LCOS Calculator'!S63)))</f>
        <v>0</v>
      </c>
      <c r="T72" s="111">
        <f>IF(T63=" "," ",SUM('LCOS Calculator'!T64:T71)/((1+WACC_real)^('LCOS Calculator'!T63)))</f>
        <v>0</v>
      </c>
      <c r="U72" s="111">
        <f>IF(U63=" "," ",SUM('LCOS Calculator'!U64:U71)/((1+WACC_real)^('LCOS Calculator'!U63)))</f>
        <v>0</v>
      </c>
      <c r="V72" s="111">
        <f>IF(V63=" "," ",SUM('LCOS Calculator'!V64:V71)/((1+WACC_real)^('LCOS Calculator'!V63)))</f>
        <v>0</v>
      </c>
      <c r="W72" s="111">
        <f>IF(W63=" "," ",SUM('LCOS Calculator'!W64:W71)/((1+WACC_real)^('LCOS Calculator'!W63)))</f>
        <v>0</v>
      </c>
      <c r="X72" s="111">
        <f>IF(X63=" "," ",SUM('LCOS Calculator'!X64:X71)/((1+WACC_real)^('LCOS Calculator'!X63)))</f>
        <v>0</v>
      </c>
      <c r="Y72" s="111">
        <f>IF(Y63=" "," ",SUM('LCOS Calculator'!Y64:Y71)/((1+WACC_real)^('LCOS Calculator'!Y63)))</f>
        <v>0</v>
      </c>
      <c r="Z72" s="111">
        <f>IF(Z63=" "," ",SUM('LCOS Calculator'!Z64:Z71)/((1+WACC_real)^('LCOS Calculator'!Z63)))</f>
        <v>0</v>
      </c>
      <c r="AA72" s="111">
        <f>IF(AA63=" "," ",SUM('LCOS Calculator'!AA64:AA71)/((1+WACC_real)^('LCOS Calculator'!AA63)))</f>
        <v>0</v>
      </c>
      <c r="AB72" s="111">
        <f>IF(AB63=" "," ",SUM('LCOS Calculator'!AB64:AB71)/((1+WACC_real)^('LCOS Calculator'!AB63)))</f>
        <v>0</v>
      </c>
      <c r="AC72" s="111">
        <f>IF(AC63=" "," ",SUM('LCOS Calculator'!AC64:AC71)/((1+WACC_real)^('LCOS Calculator'!AC63)))</f>
        <v>0</v>
      </c>
      <c r="AD72" s="111">
        <f>IF(AD63=" "," ",SUM('LCOS Calculator'!AD64:AD71)/((1+WACC_real)^('LCOS Calculator'!AD63)))</f>
        <v>0</v>
      </c>
      <c r="AE72" s="111">
        <f>IF(AE63=" "," ",SUM('LCOS Calculator'!AE64:AE71)/((1+WACC_real)^('LCOS Calculator'!AE63)))</f>
        <v>0</v>
      </c>
      <c r="AF72" s="111">
        <f>IF(AF63=" "," ",SUM('LCOS Calculator'!AF64:AF71)/((1+WACC_real)^('LCOS Calculator'!AF63)))</f>
        <v>0</v>
      </c>
      <c r="AG72" s="111">
        <f>IF(AG63=" "," ",SUM('LCOS Calculator'!AG64:AG71)/((1+WACC_real)^('LCOS Calculator'!AG63)))</f>
        <v>0</v>
      </c>
      <c r="AH72" s="111">
        <f>IF(AH63=" "," ",SUM('LCOS Calculator'!AH64:AH71)/((1+WACC_real)^('LCOS Calculator'!AH63)))</f>
        <v>0</v>
      </c>
      <c r="AI72" s="111">
        <f>IF(AI63=" "," ",SUM('LCOS Calculator'!AI64:AI71)/((1+WACC_real)^('LCOS Calculator'!AI63)))</f>
        <v>0</v>
      </c>
      <c r="AJ72" s="111">
        <f>IF(AJ63=" "," ",SUM('LCOS Calculator'!AJ64:AJ71)/((1+WACC_real)^('LCOS Calculator'!AJ63)))</f>
        <v>0</v>
      </c>
      <c r="AK72" s="111">
        <f>IF(AK63=" "," ",SUM('LCOS Calculator'!AK64:AK71)/((1+WACC_real)^('LCOS Calculator'!AK63)))</f>
        <v>0</v>
      </c>
      <c r="AL72" s="111">
        <f>IF(AL63=" "," ",SUM('LCOS Calculator'!AL64:AL71)/((1+WACC_real)^('LCOS Calculator'!AL63)))</f>
        <v>0</v>
      </c>
      <c r="AM72" s="111">
        <f>IF(AM63=" "," ",SUM('LCOS Calculator'!AM64:AM71)/((1+WACC_real)^('LCOS Calculator'!AM63)))</f>
        <v>0</v>
      </c>
      <c r="AN72" s="111">
        <f>IF(AN63=" "," ",SUM('LCOS Calculator'!AN64:AN71)/((1+WACC_real)^('LCOS Calculator'!AN63)))</f>
        <v>0</v>
      </c>
      <c r="AO72" s="111">
        <f>IF(AO63=" "," ",SUM('LCOS Calculator'!AO64:AO71)/((1+WACC_real)^('LCOS Calculator'!AO63)))</f>
        <v>0</v>
      </c>
      <c r="AP72" s="111">
        <f>IF(AP63=" "," ",SUM('LCOS Calculator'!AP64:AP71)/((1+WACC_real)^('LCOS Calculator'!AP63)))</f>
        <v>0</v>
      </c>
      <c r="AQ72" s="111">
        <f>IF(AQ63=" "," ",SUM('LCOS Calculator'!AQ64:AQ71)/((1+WACC_real)^('LCOS Calculator'!AQ63)))</f>
        <v>0</v>
      </c>
      <c r="AR72" s="111">
        <f>IF(AR63=" "," ",SUM('LCOS Calculator'!AR64:AR71)/((1+WACC_real)^('LCOS Calculator'!AR63)))</f>
        <v>0</v>
      </c>
      <c r="AS72" s="111">
        <f>IF(AS63=" "," ",SUM('LCOS Calculator'!AS64:AS71)/((1+WACC_real)^('LCOS Calculator'!AS63)))</f>
        <v>0</v>
      </c>
      <c r="AT72" s="111">
        <f>IF(AT63=" "," ",SUM('LCOS Calculator'!AT64:AT71)/((1+WACC_real)^('LCOS Calculator'!AT63)))</f>
        <v>0</v>
      </c>
      <c r="AU72" s="111">
        <f>IF(AU63=" "," ",SUM('LCOS Calculator'!AU64:AU71)/((1+WACC_real)^('LCOS Calculator'!AU63)))</f>
        <v>0</v>
      </c>
      <c r="AV72" s="111">
        <f>IF(AV63=" "," ",SUM('LCOS Calculator'!AV64:AV71)/((1+WACC_real)^('LCOS Calculator'!AV63)))</f>
        <v>0</v>
      </c>
      <c r="AW72" s="111">
        <f>IF(AW63=" "," ",SUM('LCOS Calculator'!AW64:AW71)/((1+WACC_real)^('LCOS Calculator'!AW63)))</f>
        <v>0</v>
      </c>
      <c r="AX72" s="111">
        <f>IF(AX63=" "," ",SUM('LCOS Calculator'!AX64:AX71)/((1+WACC_real)^('LCOS Calculator'!AX63)))</f>
        <v>0</v>
      </c>
      <c r="AY72" s="111">
        <f>IF(AY63=" "," ",SUM('LCOS Calculator'!AY64:AY71)/((1+WACC_real)^('LCOS Calculator'!AY63)))</f>
        <v>0</v>
      </c>
      <c r="AZ72" s="111">
        <f>IF(AZ63=" "," ",SUM('LCOS Calculator'!AZ64:AZ71)/((1+WACC_real)^('LCOS Calculator'!AZ63)))</f>
        <v>0</v>
      </c>
      <c r="BA72" s="111">
        <f>IF(BA63=" "," ",SUM('LCOS Calculator'!BA64:BA71)/((1+WACC_real)^('LCOS Calculator'!BA63)))</f>
        <v>0</v>
      </c>
      <c r="BB72" s="111">
        <f>IF(BB63=" "," ",SUM('LCOS Calculator'!BB64:BB71)/((1+WACC_real)^('LCOS Calculator'!BB63)))</f>
        <v>0</v>
      </c>
      <c r="BC72" s="111">
        <f>IF(BC63=" "," ",SUM('LCOS Calculator'!BC64:BC71)/((1+WACC_real)^('LCOS Calculator'!BC63)))</f>
        <v>0</v>
      </c>
      <c r="BD72" s="111">
        <f>IF(BD63=" "," ",SUM('LCOS Calculator'!BD64:BD71)/((1+WACC_real)^('LCOS Calculator'!BD63)))</f>
        <v>0</v>
      </c>
      <c r="BE72" s="111">
        <f>IF(BE63=" "," ",SUM('LCOS Calculator'!BE64:BE71)/((1+WACC_real)^('LCOS Calculator'!BE63)))</f>
        <v>0</v>
      </c>
      <c r="BF72" s="111">
        <f>IF(BF63=" "," ",SUM('LCOS Calculator'!BF64:BF71)/((1+WACC_real)^('LCOS Calculator'!BF63)))</f>
        <v>0</v>
      </c>
      <c r="BG72" s="111">
        <f>IF(BG63=" "," ",SUM('LCOS Calculator'!BG64:BG71)/((1+WACC_real)^('LCOS Calculator'!BG63)))</f>
        <v>0</v>
      </c>
      <c r="BH72" s="111">
        <f>IF(BH63=" "," ",SUM('LCOS Calculator'!BH64:BH71)/((1+WACC_real)^('LCOS Calculator'!BH63)))</f>
        <v>0</v>
      </c>
      <c r="BI72" s="111">
        <f>IF(BI63=" "," ",SUM('LCOS Calculator'!BI64:BI71)/((1+WACC_real)^('LCOS Calculator'!BI63)))</f>
        <v>0</v>
      </c>
      <c r="BJ72" s="111">
        <f>IF(BJ63=" "," ",SUM('LCOS Calculator'!BJ64:BJ71)/((1+WACC_real)^('LCOS Calculator'!BJ63)))</f>
        <v>0</v>
      </c>
      <c r="BK72" s="111">
        <f>IF(BK63=" "," ",SUM('LCOS Calculator'!BK64:BK71)/((1+WACC_real)^('LCOS Calculator'!BK63)))</f>
        <v>0</v>
      </c>
      <c r="BL72" s="111">
        <f>IF(BL63=" "," ",SUM('LCOS Calculator'!BL64:BL71)/((1+WACC_real)^('LCOS Calculator'!BL63)))</f>
        <v>0</v>
      </c>
      <c r="BM72" s="125"/>
    </row>
    <row r="73" spans="2:65">
      <c r="B73" s="6"/>
      <c r="C73" s="27"/>
      <c r="D73" s="86"/>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M73" s="125"/>
    </row>
    <row r="74" spans="2:65">
      <c r="B74" s="6"/>
      <c r="C74" s="27" t="s">
        <v>47</v>
      </c>
      <c r="D74" s="111">
        <f>SUM(D72:BL72)</f>
        <v>0</v>
      </c>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M74" s="125"/>
    </row>
    <row r="75" spans="2:65">
      <c r="B75" s="6"/>
      <c r="C75" s="27"/>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M75" s="125"/>
    </row>
    <row r="76" spans="2:65" ht="15.5" customHeight="1">
      <c r="B76" s="6"/>
      <c r="C76" s="9" t="s">
        <v>288</v>
      </c>
      <c r="BM76" s="125"/>
    </row>
    <row r="77" spans="2:65" ht="15.5" customHeight="1">
      <c r="B77" s="6"/>
      <c r="C77" s="167" t="s">
        <v>286</v>
      </c>
      <c r="D77" s="167"/>
      <c r="E77" s="167"/>
      <c r="F77" s="167"/>
      <c r="G77" s="167"/>
      <c r="H77" s="167"/>
      <c r="I77" s="167"/>
      <c r="J77" s="167"/>
      <c r="K77" s="167"/>
      <c r="L77" s="167"/>
      <c r="M77" s="167"/>
      <c r="N77" s="167"/>
      <c r="BM77" s="125"/>
    </row>
    <row r="78" spans="2:65" ht="15.5" customHeight="1">
      <c r="B78" s="6"/>
      <c r="C78" s="167"/>
      <c r="D78" s="167"/>
      <c r="E78" s="167"/>
      <c r="F78" s="167"/>
      <c r="G78" s="167"/>
      <c r="H78" s="167"/>
      <c r="I78" s="167"/>
      <c r="J78" s="167"/>
      <c r="K78" s="167"/>
      <c r="L78" s="167"/>
      <c r="M78" s="167"/>
      <c r="N78" s="167"/>
      <c r="BM78" s="125"/>
    </row>
    <row r="79" spans="2:65" ht="15.5" customHeight="1">
      <c r="B79" s="6"/>
      <c r="BM79" s="125"/>
    </row>
    <row r="80" spans="2:65">
      <c r="B80" s="6"/>
      <c r="D80" s="14" t="s">
        <v>44</v>
      </c>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6"/>
      <c r="BM80" s="125"/>
    </row>
    <row r="81" spans="2:65">
      <c r="B81" s="6"/>
      <c r="C81" s="3" t="s">
        <v>45</v>
      </c>
      <c r="D81" s="29">
        <v>0</v>
      </c>
      <c r="E81" s="30">
        <v>1</v>
      </c>
      <c r="F81" s="30">
        <v>2</v>
      </c>
      <c r="G81" s="30">
        <v>3</v>
      </c>
      <c r="H81" s="30">
        <v>4</v>
      </c>
      <c r="I81" s="30">
        <v>5</v>
      </c>
      <c r="J81" s="30">
        <v>6</v>
      </c>
      <c r="K81" s="30">
        <v>7</v>
      </c>
      <c r="L81" s="30">
        <v>8</v>
      </c>
      <c r="M81" s="30">
        <v>9</v>
      </c>
      <c r="N81" s="30">
        <v>10</v>
      </c>
      <c r="O81" s="30">
        <v>11</v>
      </c>
      <c r="P81" s="30">
        <v>12</v>
      </c>
      <c r="Q81" s="30">
        <v>13</v>
      </c>
      <c r="R81" s="30">
        <v>14</v>
      </c>
      <c r="S81" s="30">
        <v>15</v>
      </c>
      <c r="T81" s="30">
        <v>16</v>
      </c>
      <c r="U81" s="30">
        <v>17</v>
      </c>
      <c r="V81" s="30">
        <v>18</v>
      </c>
      <c r="W81" s="30">
        <v>19</v>
      </c>
      <c r="X81" s="30">
        <v>20</v>
      </c>
      <c r="Y81" s="30">
        <v>21</v>
      </c>
      <c r="Z81" s="30">
        <v>22</v>
      </c>
      <c r="AA81" s="30">
        <v>23</v>
      </c>
      <c r="AB81" s="30">
        <v>24</v>
      </c>
      <c r="AC81" s="30">
        <v>25</v>
      </c>
      <c r="AD81" s="30">
        <v>26</v>
      </c>
      <c r="AE81" s="30">
        <v>27</v>
      </c>
      <c r="AF81" s="30">
        <v>28</v>
      </c>
      <c r="AG81" s="30">
        <v>29</v>
      </c>
      <c r="AH81" s="30">
        <v>30</v>
      </c>
      <c r="AI81" s="30">
        <v>31</v>
      </c>
      <c r="AJ81" s="30">
        <v>32</v>
      </c>
      <c r="AK81" s="30">
        <v>33</v>
      </c>
      <c r="AL81" s="30">
        <v>34</v>
      </c>
      <c r="AM81" s="30">
        <v>35</v>
      </c>
      <c r="AN81" s="30">
        <v>36</v>
      </c>
      <c r="AO81" s="30">
        <v>37</v>
      </c>
      <c r="AP81" s="30">
        <v>38</v>
      </c>
      <c r="AQ81" s="30">
        <v>39</v>
      </c>
      <c r="AR81" s="30">
        <v>40</v>
      </c>
      <c r="AS81" s="30">
        <v>41</v>
      </c>
      <c r="AT81" s="30">
        <v>42</v>
      </c>
      <c r="AU81" s="30">
        <v>43</v>
      </c>
      <c r="AV81" s="30">
        <v>44</v>
      </c>
      <c r="AW81" s="30">
        <v>45</v>
      </c>
      <c r="AX81" s="30">
        <v>46</v>
      </c>
      <c r="AY81" s="30">
        <v>47</v>
      </c>
      <c r="AZ81" s="30">
        <v>48</v>
      </c>
      <c r="BA81" s="30">
        <v>49</v>
      </c>
      <c r="BB81" s="30">
        <v>50</v>
      </c>
      <c r="BC81" s="30">
        <v>51</v>
      </c>
      <c r="BD81" s="30">
        <v>52</v>
      </c>
      <c r="BE81" s="30">
        <v>53</v>
      </c>
      <c r="BF81" s="30">
        <v>54</v>
      </c>
      <c r="BG81" s="30">
        <v>55</v>
      </c>
      <c r="BH81" s="30">
        <v>56</v>
      </c>
      <c r="BI81" s="30">
        <v>57</v>
      </c>
      <c r="BJ81" s="30">
        <v>58</v>
      </c>
      <c r="BK81" s="30">
        <v>59</v>
      </c>
      <c r="BL81" s="121">
        <v>60</v>
      </c>
      <c r="BM81" s="125"/>
    </row>
    <row r="82" spans="2:65">
      <c r="B82" s="6"/>
      <c r="C82" s="2"/>
      <c r="E82" s="119"/>
      <c r="F82" s="119"/>
      <c r="G82" s="119"/>
      <c r="H82" s="119"/>
      <c r="I82" s="120"/>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c r="BA82" s="119"/>
      <c r="BB82" s="119"/>
      <c r="BC82" s="119"/>
      <c r="BD82" s="119"/>
      <c r="BE82" s="119"/>
      <c r="BF82" s="119"/>
      <c r="BG82" s="119"/>
      <c r="BH82" s="119"/>
      <c r="BI82" s="119"/>
      <c r="BJ82" s="119"/>
      <c r="BK82" s="119"/>
      <c r="BL82" s="119"/>
      <c r="BM82" s="125"/>
    </row>
    <row r="83" spans="2:65">
      <c r="B83" s="6"/>
      <c r="C83" s="2"/>
      <c r="E83" s="119"/>
      <c r="F83" s="119"/>
      <c r="G83" s="119"/>
      <c r="H83" s="119"/>
      <c r="I83" s="120"/>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119"/>
      <c r="BJ83" s="119"/>
      <c r="BK83" s="119"/>
      <c r="BL83" s="119"/>
      <c r="BM83" s="125"/>
    </row>
    <row r="84" spans="2:65">
      <c r="B84" s="6"/>
      <c r="C84" s="2"/>
      <c r="E84" s="119"/>
      <c r="F84" s="119"/>
      <c r="G84" s="119"/>
      <c r="H84" s="119"/>
      <c r="I84" s="120"/>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c r="BA84" s="119"/>
      <c r="BB84" s="119"/>
      <c r="BC84" s="119"/>
      <c r="BD84" s="119"/>
      <c r="BE84" s="119"/>
      <c r="BF84" s="119"/>
      <c r="BG84" s="119"/>
      <c r="BH84" s="119"/>
      <c r="BI84" s="119"/>
      <c r="BJ84" s="119"/>
      <c r="BK84" s="119"/>
      <c r="BL84" s="119"/>
      <c r="BM84" s="125"/>
    </row>
    <row r="85" spans="2:65">
      <c r="B85" s="6"/>
      <c r="C85" s="2"/>
      <c r="E85" s="119"/>
      <c r="F85" s="119"/>
      <c r="G85" s="119"/>
      <c r="H85" s="119"/>
      <c r="I85" s="120"/>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119"/>
      <c r="BH85" s="119"/>
      <c r="BI85" s="119"/>
      <c r="BJ85" s="119"/>
      <c r="BK85" s="119"/>
      <c r="BL85" s="119"/>
      <c r="BM85" s="125"/>
    </row>
    <row r="86" spans="2:65">
      <c r="B86" s="6"/>
      <c r="C86" s="2"/>
      <c r="E86" s="119"/>
      <c r="F86" s="119"/>
      <c r="G86" s="119"/>
      <c r="H86" s="119"/>
      <c r="I86" s="120"/>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c r="BA86" s="119"/>
      <c r="BB86" s="119"/>
      <c r="BC86" s="119"/>
      <c r="BD86" s="119"/>
      <c r="BE86" s="119"/>
      <c r="BF86" s="119"/>
      <c r="BG86" s="119"/>
      <c r="BH86" s="119"/>
      <c r="BI86" s="119"/>
      <c r="BJ86" s="119"/>
      <c r="BK86" s="119"/>
      <c r="BL86" s="119"/>
      <c r="BM86" s="125"/>
    </row>
    <row r="87" spans="2:65">
      <c r="B87" s="6"/>
      <c r="C87" s="2"/>
      <c r="E87" s="119"/>
      <c r="F87" s="119"/>
      <c r="G87" s="119"/>
      <c r="H87" s="119"/>
      <c r="I87" s="120"/>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c r="BA87" s="119"/>
      <c r="BB87" s="119"/>
      <c r="BC87" s="119"/>
      <c r="BD87" s="119"/>
      <c r="BE87" s="119"/>
      <c r="BF87" s="119"/>
      <c r="BG87" s="119"/>
      <c r="BH87" s="119"/>
      <c r="BI87" s="119"/>
      <c r="BJ87" s="119"/>
      <c r="BK87" s="119"/>
      <c r="BL87" s="119"/>
      <c r="BM87" s="125"/>
    </row>
    <row r="88" spans="2:65">
      <c r="B88" s="6"/>
      <c r="C88" s="27" t="s">
        <v>46</v>
      </c>
      <c r="D88" s="122"/>
      <c r="E88" s="111">
        <f t="shared" ref="E88:AJ88" si="2">(SUM(E82)/((1+WACC_real)^(E81)))</f>
        <v>0</v>
      </c>
      <c r="F88" s="111">
        <f t="shared" si="2"/>
        <v>0</v>
      </c>
      <c r="G88" s="111">
        <f t="shared" si="2"/>
        <v>0</v>
      </c>
      <c r="H88" s="111">
        <f t="shared" si="2"/>
        <v>0</v>
      </c>
      <c r="I88" s="111">
        <f t="shared" si="2"/>
        <v>0</v>
      </c>
      <c r="J88" s="111">
        <f t="shared" si="2"/>
        <v>0</v>
      </c>
      <c r="K88" s="111">
        <f t="shared" si="2"/>
        <v>0</v>
      </c>
      <c r="L88" s="111">
        <f t="shared" si="2"/>
        <v>0</v>
      </c>
      <c r="M88" s="111">
        <f t="shared" si="2"/>
        <v>0</v>
      </c>
      <c r="N88" s="111">
        <f t="shared" si="2"/>
        <v>0</v>
      </c>
      <c r="O88" s="111">
        <f t="shared" si="2"/>
        <v>0</v>
      </c>
      <c r="P88" s="111">
        <f t="shared" si="2"/>
        <v>0</v>
      </c>
      <c r="Q88" s="111">
        <f t="shared" si="2"/>
        <v>0</v>
      </c>
      <c r="R88" s="111">
        <f t="shared" si="2"/>
        <v>0</v>
      </c>
      <c r="S88" s="111">
        <f t="shared" si="2"/>
        <v>0</v>
      </c>
      <c r="T88" s="111">
        <f t="shared" si="2"/>
        <v>0</v>
      </c>
      <c r="U88" s="111">
        <f t="shared" si="2"/>
        <v>0</v>
      </c>
      <c r="V88" s="111">
        <f t="shared" si="2"/>
        <v>0</v>
      </c>
      <c r="W88" s="111">
        <f t="shared" si="2"/>
        <v>0</v>
      </c>
      <c r="X88" s="111">
        <f t="shared" si="2"/>
        <v>0</v>
      </c>
      <c r="Y88" s="111">
        <f t="shared" si="2"/>
        <v>0</v>
      </c>
      <c r="Z88" s="111">
        <f t="shared" si="2"/>
        <v>0</v>
      </c>
      <c r="AA88" s="111">
        <f t="shared" si="2"/>
        <v>0</v>
      </c>
      <c r="AB88" s="111">
        <f t="shared" si="2"/>
        <v>0</v>
      </c>
      <c r="AC88" s="111">
        <f t="shared" si="2"/>
        <v>0</v>
      </c>
      <c r="AD88" s="111">
        <f t="shared" si="2"/>
        <v>0</v>
      </c>
      <c r="AE88" s="111">
        <f t="shared" si="2"/>
        <v>0</v>
      </c>
      <c r="AF88" s="111">
        <f t="shared" si="2"/>
        <v>0</v>
      </c>
      <c r="AG88" s="111">
        <f t="shared" si="2"/>
        <v>0</v>
      </c>
      <c r="AH88" s="111">
        <f t="shared" si="2"/>
        <v>0</v>
      </c>
      <c r="AI88" s="111">
        <f t="shared" si="2"/>
        <v>0</v>
      </c>
      <c r="AJ88" s="111">
        <f t="shared" si="2"/>
        <v>0</v>
      </c>
      <c r="AK88" s="111">
        <f t="shared" ref="AK88:BL88" si="3">(SUM(AK82)/((1+WACC_real)^(AK81)))</f>
        <v>0</v>
      </c>
      <c r="AL88" s="111">
        <f t="shared" si="3"/>
        <v>0</v>
      </c>
      <c r="AM88" s="111">
        <f t="shared" si="3"/>
        <v>0</v>
      </c>
      <c r="AN88" s="111">
        <f t="shared" si="3"/>
        <v>0</v>
      </c>
      <c r="AO88" s="111">
        <f t="shared" si="3"/>
        <v>0</v>
      </c>
      <c r="AP88" s="111">
        <f t="shared" si="3"/>
        <v>0</v>
      </c>
      <c r="AQ88" s="111">
        <f t="shared" si="3"/>
        <v>0</v>
      </c>
      <c r="AR88" s="111">
        <f t="shared" si="3"/>
        <v>0</v>
      </c>
      <c r="AS88" s="111">
        <f t="shared" si="3"/>
        <v>0</v>
      </c>
      <c r="AT88" s="111">
        <f t="shared" si="3"/>
        <v>0</v>
      </c>
      <c r="AU88" s="111">
        <f t="shared" si="3"/>
        <v>0</v>
      </c>
      <c r="AV88" s="111">
        <f t="shared" si="3"/>
        <v>0</v>
      </c>
      <c r="AW88" s="111">
        <f t="shared" si="3"/>
        <v>0</v>
      </c>
      <c r="AX88" s="111">
        <f t="shared" si="3"/>
        <v>0</v>
      </c>
      <c r="AY88" s="111">
        <f t="shared" si="3"/>
        <v>0</v>
      </c>
      <c r="AZ88" s="111">
        <f t="shared" si="3"/>
        <v>0</v>
      </c>
      <c r="BA88" s="111">
        <f t="shared" si="3"/>
        <v>0</v>
      </c>
      <c r="BB88" s="111">
        <f t="shared" si="3"/>
        <v>0</v>
      </c>
      <c r="BC88" s="111">
        <f t="shared" si="3"/>
        <v>0</v>
      </c>
      <c r="BD88" s="111">
        <f t="shared" si="3"/>
        <v>0</v>
      </c>
      <c r="BE88" s="111">
        <f t="shared" si="3"/>
        <v>0</v>
      </c>
      <c r="BF88" s="111">
        <f t="shared" si="3"/>
        <v>0</v>
      </c>
      <c r="BG88" s="111">
        <f t="shared" si="3"/>
        <v>0</v>
      </c>
      <c r="BH88" s="111">
        <f t="shared" si="3"/>
        <v>0</v>
      </c>
      <c r="BI88" s="111">
        <f t="shared" si="3"/>
        <v>0</v>
      </c>
      <c r="BJ88" s="111">
        <f t="shared" si="3"/>
        <v>0</v>
      </c>
      <c r="BK88" s="111">
        <f t="shared" si="3"/>
        <v>0</v>
      </c>
      <c r="BL88" s="111">
        <f t="shared" si="3"/>
        <v>0</v>
      </c>
      <c r="BM88" s="125"/>
    </row>
    <row r="89" spans="2:65">
      <c r="B89" s="6"/>
      <c r="C89" s="27"/>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125"/>
    </row>
    <row r="90" spans="2:65">
      <c r="B90" s="6"/>
      <c r="C90" s="27" t="s">
        <v>47</v>
      </c>
      <c r="D90" s="111">
        <f>SUM(D88:BL88)</f>
        <v>0</v>
      </c>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125"/>
    </row>
    <row r="91" spans="2:65">
      <c r="B91" s="6"/>
      <c r="BM91" s="125"/>
    </row>
    <row r="92" spans="2:65" ht="17.5" thickBot="1">
      <c r="B92" s="7"/>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126"/>
    </row>
    <row r="97" spans="3:64" ht="17.5">
      <c r="C97" s="9" t="s">
        <v>203</v>
      </c>
      <c r="E97" s="170" t="s">
        <v>48</v>
      </c>
      <c r="F97" s="171"/>
      <c r="G97" s="171"/>
      <c r="H97" s="172"/>
      <c r="I97" s="97">
        <f>J20*J21*J23*1000</f>
        <v>320000</v>
      </c>
    </row>
    <row r="98" spans="3:64" ht="15.5" customHeight="1">
      <c r="C98" s="169" t="s">
        <v>49</v>
      </c>
      <c r="E98" s="170" t="s">
        <v>50</v>
      </c>
      <c r="F98" s="171"/>
      <c r="G98" s="171"/>
      <c r="H98" s="172"/>
      <c r="I98" s="60">
        <f>IF(J19="Battery",J22*(bidirectional_inverter_efficiency^2)*(bidirectional_transformer_efficiency^2),IF(J19="Hydrogen",J22*(unidirectional_inverter_efficiency*rectifier_efficiency)*(bidirectional_transformer_efficiency^2),J22))</f>
        <v>0.52</v>
      </c>
    </row>
    <row r="99" spans="3:64">
      <c r="C99" s="169"/>
      <c r="E99" s="164" t="s">
        <v>51</v>
      </c>
      <c r="F99" s="165"/>
      <c r="G99" s="165"/>
      <c r="H99" s="166"/>
      <c r="I99" s="61">
        <f>J21*J23</f>
        <v>3.2</v>
      </c>
    </row>
    <row r="100" spans="3:64" ht="15.5" customHeight="1">
      <c r="C100" s="169"/>
      <c r="E100" s="164" t="s">
        <v>52</v>
      </c>
      <c r="F100" s="165"/>
      <c r="G100" s="165"/>
      <c r="H100" s="166"/>
      <c r="I100" s="62">
        <f>I99/I98</f>
        <v>6.1538461538461542</v>
      </c>
    </row>
    <row r="101" spans="3:64" ht="15.5" customHeight="1">
      <c r="C101" s="169"/>
      <c r="E101" s="164" t="s">
        <v>53</v>
      </c>
      <c r="F101" s="165"/>
      <c r="G101" s="165"/>
      <c r="H101" s="166"/>
      <c r="I101" s="63">
        <f>J24+J25</f>
        <v>0</v>
      </c>
    </row>
    <row r="102" spans="3:64" ht="15.5" customHeight="1">
      <c r="C102" s="169"/>
      <c r="E102" s="164" t="s">
        <v>54</v>
      </c>
      <c r="F102" s="165"/>
      <c r="G102" s="165"/>
      <c r="H102" s="166"/>
      <c r="I102" s="62">
        <f>SUM(I99,I100,I101)</f>
        <v>9.3538461538461544</v>
      </c>
    </row>
    <row r="103" spans="3:64" ht="15.5" customHeight="1">
      <c r="C103" s="169"/>
      <c r="E103" s="164" t="s">
        <v>259</v>
      </c>
      <c r="F103" s="165"/>
      <c r="G103" s="165"/>
      <c r="H103" s="166"/>
      <c r="I103" s="62">
        <f>24/I102</f>
        <v>2.5657894736842102</v>
      </c>
    </row>
    <row r="104" spans="3:64" ht="15.5" customHeight="1">
      <c r="C104" s="169"/>
      <c r="E104" s="164" t="s">
        <v>260</v>
      </c>
      <c r="F104" s="165"/>
      <c r="G104" s="165"/>
      <c r="H104" s="166"/>
      <c r="I104" s="62">
        <f>IF(J29="", I103,MIN(24/I102, 1/J23 * (J29/365)))</f>
        <v>1.25</v>
      </c>
    </row>
    <row r="105" spans="3:64" ht="15.5" customHeight="1">
      <c r="C105" s="169"/>
      <c r="E105" s="164" t="s">
        <v>55</v>
      </c>
      <c r="F105" s="165"/>
      <c r="G105" s="165"/>
      <c r="H105" s="166"/>
      <c r="I105" s="62">
        <f>MIN(I104,I103)*365</f>
        <v>456.25</v>
      </c>
    </row>
    <row r="106" spans="3:64" ht="17.5">
      <c r="C106" s="9"/>
      <c r="E106" s="182" t="s">
        <v>56</v>
      </c>
      <c r="F106" s="183"/>
      <c r="G106" s="183"/>
      <c r="H106" s="184"/>
      <c r="I106" s="188">
        <f>I97*I105</f>
        <v>146000000</v>
      </c>
    </row>
    <row r="107" spans="3:64" ht="17.5">
      <c r="C107" s="9"/>
      <c r="E107" s="185"/>
      <c r="F107" s="186"/>
      <c r="G107" s="186"/>
      <c r="H107" s="187"/>
      <c r="I107" s="189"/>
    </row>
    <row r="108" spans="3:64" ht="17.5">
      <c r="C108" s="9"/>
    </row>
    <row r="110" spans="3:64" ht="17.5">
      <c r="C110" s="9" t="s">
        <v>57</v>
      </c>
    </row>
    <row r="111" spans="3:64">
      <c r="D111" s="14" t="s">
        <v>44</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6"/>
    </row>
    <row r="112" spans="3:64">
      <c r="D112" s="29">
        <v>0</v>
      </c>
      <c r="E112" s="30">
        <v>1</v>
      </c>
      <c r="F112" s="29">
        <v>2</v>
      </c>
      <c r="G112" s="30">
        <v>3</v>
      </c>
      <c r="H112" s="29">
        <v>4</v>
      </c>
      <c r="I112" s="30">
        <v>5</v>
      </c>
      <c r="J112" s="29">
        <v>6</v>
      </c>
      <c r="K112" s="30">
        <v>7</v>
      </c>
      <c r="L112" s="29">
        <v>8</v>
      </c>
      <c r="M112" s="30">
        <v>9</v>
      </c>
      <c r="N112" s="29">
        <v>10</v>
      </c>
      <c r="O112" s="30">
        <v>11</v>
      </c>
      <c r="P112" s="29">
        <v>12</v>
      </c>
      <c r="Q112" s="30">
        <v>13</v>
      </c>
      <c r="R112" s="29">
        <v>14</v>
      </c>
      <c r="S112" s="30">
        <v>15</v>
      </c>
      <c r="T112" s="29">
        <v>16</v>
      </c>
      <c r="U112" s="30">
        <v>17</v>
      </c>
      <c r="V112" s="29">
        <v>18</v>
      </c>
      <c r="W112" s="30">
        <v>19</v>
      </c>
      <c r="X112" s="29">
        <v>20</v>
      </c>
      <c r="Y112" s="30">
        <v>21</v>
      </c>
      <c r="Z112" s="29">
        <v>22</v>
      </c>
      <c r="AA112" s="30">
        <v>23</v>
      </c>
      <c r="AB112" s="29">
        <v>24</v>
      </c>
      <c r="AC112" s="30">
        <v>25</v>
      </c>
      <c r="AD112" s="29">
        <v>26</v>
      </c>
      <c r="AE112" s="30">
        <v>27</v>
      </c>
      <c r="AF112" s="29">
        <v>28</v>
      </c>
      <c r="AG112" s="30">
        <v>29</v>
      </c>
      <c r="AH112" s="29">
        <v>30</v>
      </c>
      <c r="AI112" s="30">
        <v>31</v>
      </c>
      <c r="AJ112" s="29">
        <v>32</v>
      </c>
      <c r="AK112" s="30">
        <v>33</v>
      </c>
      <c r="AL112" s="29">
        <v>34</v>
      </c>
      <c r="AM112" s="30">
        <v>35</v>
      </c>
      <c r="AN112" s="29">
        <v>36</v>
      </c>
      <c r="AO112" s="30">
        <v>37</v>
      </c>
      <c r="AP112" s="29">
        <v>38</v>
      </c>
      <c r="AQ112" s="30">
        <v>39</v>
      </c>
      <c r="AR112" s="29">
        <v>40</v>
      </c>
      <c r="AS112" s="30">
        <v>41</v>
      </c>
      <c r="AT112" s="29">
        <v>42</v>
      </c>
      <c r="AU112" s="30">
        <v>43</v>
      </c>
      <c r="AV112" s="29">
        <v>44</v>
      </c>
      <c r="AW112" s="30">
        <v>45</v>
      </c>
      <c r="AX112" s="29">
        <v>46</v>
      </c>
      <c r="AY112" s="30">
        <v>47</v>
      </c>
      <c r="AZ112" s="29">
        <v>48</v>
      </c>
      <c r="BA112" s="30">
        <v>49</v>
      </c>
      <c r="BB112" s="30">
        <v>50</v>
      </c>
      <c r="BC112" s="30">
        <v>51</v>
      </c>
      <c r="BD112" s="30">
        <v>52</v>
      </c>
      <c r="BE112" s="30">
        <v>53</v>
      </c>
      <c r="BF112" s="30">
        <v>54</v>
      </c>
      <c r="BG112" s="30">
        <v>55</v>
      </c>
      <c r="BH112" s="30">
        <v>56</v>
      </c>
      <c r="BI112" s="30">
        <v>57</v>
      </c>
      <c r="BJ112" s="30">
        <v>58</v>
      </c>
      <c r="BK112" s="30">
        <v>59</v>
      </c>
      <c r="BL112" s="121">
        <v>60</v>
      </c>
    </row>
    <row r="113" spans="3:64">
      <c r="C113" s="10" t="s">
        <v>58</v>
      </c>
      <c r="D113" s="75">
        <v>0</v>
      </c>
      <c r="E113" s="64">
        <f t="shared" ref="E113:R113" si="4">IF(E112&gt;=$J$28," ",$I$106)</f>
        <v>146000000</v>
      </c>
      <c r="F113" s="64">
        <f t="shared" si="4"/>
        <v>146000000</v>
      </c>
      <c r="G113" s="64">
        <f t="shared" si="4"/>
        <v>146000000</v>
      </c>
      <c r="H113" s="64">
        <f t="shared" si="4"/>
        <v>146000000</v>
      </c>
      <c r="I113" s="64">
        <f t="shared" si="4"/>
        <v>146000000</v>
      </c>
      <c r="J113" s="64">
        <f t="shared" si="4"/>
        <v>146000000</v>
      </c>
      <c r="K113" s="64">
        <f t="shared" si="4"/>
        <v>146000000</v>
      </c>
      <c r="L113" s="64">
        <f t="shared" si="4"/>
        <v>146000000</v>
      </c>
      <c r="M113" s="64">
        <f t="shared" si="4"/>
        <v>146000000</v>
      </c>
      <c r="N113" s="64">
        <f t="shared" si="4"/>
        <v>146000000</v>
      </c>
      <c r="O113" s="64">
        <f t="shared" si="4"/>
        <v>146000000</v>
      </c>
      <c r="P113" s="64">
        <f t="shared" si="4"/>
        <v>146000000</v>
      </c>
      <c r="Q113" s="64">
        <f t="shared" si="4"/>
        <v>146000000</v>
      </c>
      <c r="R113" s="64">
        <f t="shared" si="4"/>
        <v>146000000</v>
      </c>
      <c r="S113" s="64">
        <f t="shared" ref="S113:BL113" si="5">IF($J$28&gt;=S112,$I$106," ")</f>
        <v>146000000</v>
      </c>
      <c r="T113" s="64">
        <f t="shared" si="5"/>
        <v>146000000</v>
      </c>
      <c r="U113" s="64">
        <f t="shared" si="5"/>
        <v>146000000</v>
      </c>
      <c r="V113" s="64">
        <f t="shared" si="5"/>
        <v>146000000</v>
      </c>
      <c r="W113" s="64">
        <f t="shared" si="5"/>
        <v>146000000</v>
      </c>
      <c r="X113" s="64">
        <f t="shared" si="5"/>
        <v>146000000</v>
      </c>
      <c r="Y113" s="64">
        <f t="shared" si="5"/>
        <v>146000000</v>
      </c>
      <c r="Z113" s="64">
        <f t="shared" si="5"/>
        <v>146000000</v>
      </c>
      <c r="AA113" s="64">
        <f t="shared" si="5"/>
        <v>146000000</v>
      </c>
      <c r="AB113" s="64">
        <f t="shared" si="5"/>
        <v>146000000</v>
      </c>
      <c r="AC113" s="64">
        <f t="shared" si="5"/>
        <v>146000000</v>
      </c>
      <c r="AD113" s="64">
        <f t="shared" si="5"/>
        <v>146000000</v>
      </c>
      <c r="AE113" s="64">
        <f t="shared" si="5"/>
        <v>146000000</v>
      </c>
      <c r="AF113" s="64">
        <f t="shared" si="5"/>
        <v>146000000</v>
      </c>
      <c r="AG113" s="64">
        <f t="shared" si="5"/>
        <v>146000000</v>
      </c>
      <c r="AH113" s="64">
        <f t="shared" si="5"/>
        <v>146000000</v>
      </c>
      <c r="AI113" s="64">
        <f t="shared" si="5"/>
        <v>146000000</v>
      </c>
      <c r="AJ113" s="64">
        <f t="shared" si="5"/>
        <v>146000000</v>
      </c>
      <c r="AK113" s="64">
        <f t="shared" si="5"/>
        <v>146000000</v>
      </c>
      <c r="AL113" s="64">
        <f t="shared" si="5"/>
        <v>146000000</v>
      </c>
      <c r="AM113" s="64">
        <f t="shared" si="5"/>
        <v>146000000</v>
      </c>
      <c r="AN113" s="64">
        <f t="shared" si="5"/>
        <v>146000000</v>
      </c>
      <c r="AO113" s="64">
        <f t="shared" si="5"/>
        <v>146000000</v>
      </c>
      <c r="AP113" s="64">
        <f t="shared" si="5"/>
        <v>146000000</v>
      </c>
      <c r="AQ113" s="64">
        <f t="shared" si="5"/>
        <v>146000000</v>
      </c>
      <c r="AR113" s="64">
        <f t="shared" si="5"/>
        <v>146000000</v>
      </c>
      <c r="AS113" s="64">
        <f t="shared" si="5"/>
        <v>146000000</v>
      </c>
      <c r="AT113" s="64">
        <f t="shared" si="5"/>
        <v>146000000</v>
      </c>
      <c r="AU113" s="64">
        <f t="shared" si="5"/>
        <v>146000000</v>
      </c>
      <c r="AV113" s="64">
        <f t="shared" si="5"/>
        <v>146000000</v>
      </c>
      <c r="AW113" s="64">
        <f t="shared" si="5"/>
        <v>146000000</v>
      </c>
      <c r="AX113" s="64">
        <f t="shared" si="5"/>
        <v>146000000</v>
      </c>
      <c r="AY113" s="64">
        <f t="shared" si="5"/>
        <v>146000000</v>
      </c>
      <c r="AZ113" s="64">
        <f t="shared" si="5"/>
        <v>146000000</v>
      </c>
      <c r="BA113" s="64">
        <f t="shared" si="5"/>
        <v>146000000</v>
      </c>
      <c r="BB113" s="64">
        <f t="shared" si="5"/>
        <v>146000000</v>
      </c>
      <c r="BC113" s="64">
        <f t="shared" si="5"/>
        <v>146000000</v>
      </c>
      <c r="BD113" s="64">
        <f t="shared" si="5"/>
        <v>146000000</v>
      </c>
      <c r="BE113" s="64">
        <f t="shared" si="5"/>
        <v>146000000</v>
      </c>
      <c r="BF113" s="64">
        <f t="shared" si="5"/>
        <v>146000000</v>
      </c>
      <c r="BG113" s="64">
        <f t="shared" si="5"/>
        <v>146000000</v>
      </c>
      <c r="BH113" s="64">
        <f t="shared" si="5"/>
        <v>146000000</v>
      </c>
      <c r="BI113" s="64">
        <f t="shared" si="5"/>
        <v>146000000</v>
      </c>
      <c r="BJ113" s="64">
        <f t="shared" si="5"/>
        <v>146000000</v>
      </c>
      <c r="BK113" s="64">
        <f t="shared" si="5"/>
        <v>146000000</v>
      </c>
      <c r="BL113" s="64">
        <f t="shared" si="5"/>
        <v>146000000</v>
      </c>
    </row>
    <row r="114" spans="3:64" ht="17.5">
      <c r="C114" s="34" t="s">
        <v>59</v>
      </c>
      <c r="D114" s="73">
        <v>0</v>
      </c>
      <c r="E114" s="76">
        <f t="shared" ref="E114:AJ114" si="6">IF(E113&lt;&gt;" ",E113/((1+WACC_real)^(E112)), " ")</f>
        <v>137101724.64191759</v>
      </c>
      <c r="F114" s="74">
        <f>IF(F113&lt;&gt;" ",F113/((1+WACC_real)^(F112)), " ")</f>
        <v>128745773.28622048</v>
      </c>
      <c r="G114" s="74">
        <f t="shared" si="6"/>
        <v>120899092.86231607</v>
      </c>
      <c r="H114" s="74">
        <f t="shared" si="6"/>
        <v>113530644.78812934</v>
      </c>
      <c r="I114" s="74">
        <f t="shared" si="6"/>
        <v>106611282.19288674</v>
      </c>
      <c r="J114" s="74">
        <f t="shared" si="6"/>
        <v>100113634.62281458</v>
      </c>
      <c r="K114" s="74">
        <f t="shared" si="6"/>
        <v>94011999.773689508</v>
      </c>
      <c r="L114" s="74">
        <f t="shared" si="6"/>
        <v>88282241.82197535</v>
      </c>
      <c r="M114" s="74">
        <f t="shared" si="6"/>
        <v>82901695.952381119</v>
      </c>
      <c r="N114" s="74">
        <f t="shared" si="6"/>
        <v>77849078.704187185</v>
      </c>
      <c r="O114" s="74">
        <f t="shared" si="6"/>
        <v>73104403.781701654</v>
      </c>
      <c r="P114" s="74">
        <f t="shared" si="6"/>
        <v>68648902.995824784</v>
      </c>
      <c r="Q114" s="74">
        <f t="shared" si="6"/>
        <v>64464952.023995072</v>
      </c>
      <c r="R114" s="74">
        <f t="shared" si="6"/>
        <v>60536000.694850691</v>
      </c>
      <c r="S114" s="74">
        <f t="shared" si="6"/>
        <v>56846507.521838009</v>
      </c>
      <c r="T114" s="74">
        <f t="shared" si="6"/>
        <v>53381878.226806387</v>
      </c>
      <c r="U114" s="74">
        <f t="shared" si="6"/>
        <v>50128408.010410853</v>
      </c>
      <c r="V114" s="74">
        <f t="shared" si="6"/>
        <v>47073227.340966061</v>
      </c>
      <c r="W114" s="74">
        <f t="shared" si="6"/>
        <v>44204251.047311738</v>
      </c>
      <c r="X114" s="74">
        <f t="shared" si="6"/>
        <v>41510130.514320076</v>
      </c>
      <c r="Y114" s="74">
        <f>IF(Y113&lt;&gt;" ",Y113/((1+WACC_real)^(Y112)), " ")</f>
        <v>38980208.791947752</v>
      </c>
      <c r="Z114" s="74">
        <f t="shared" si="6"/>
        <v>36604478.44026079</v>
      </c>
      <c r="AA114" s="74">
        <f t="shared" si="6"/>
        <v>34373541.943682492</v>
      </c>
      <c r="AB114" s="74">
        <f t="shared" si="6"/>
        <v>32278574.537877824</v>
      </c>
      <c r="AC114" s="74">
        <f t="shared" si="6"/>
        <v>30311289.302231073</v>
      </c>
      <c r="AD114" s="74">
        <f t="shared" si="6"/>
        <v>28463904.379835527</v>
      </c>
      <c r="AE114" s="74">
        <f t="shared" si="6"/>
        <v>26729112.195329327</v>
      </c>
      <c r="AF114" s="74">
        <f t="shared" si="6"/>
        <v>25100050.548814811</v>
      </c>
      <c r="AG114" s="74">
        <f t="shared" si="6"/>
        <v>23570275.471519321</v>
      </c>
      <c r="AH114" s="74">
        <f t="shared" si="6"/>
        <v>22133735.735824563</v>
      </c>
      <c r="AI114" s="74">
        <f t="shared" si="6"/>
        <v>20784748.918835547</v>
      </c>
      <c r="AJ114" s="74">
        <f t="shared" si="6"/>
        <v>19517978.92480538</v>
      </c>
      <c r="AK114" s="74">
        <f t="shared" ref="AK114:BB114" si="7">IF(AK113&lt;&gt;" ",AK113/((1+WACC_real)^(AK112)), " ")</f>
        <v>18328414.877502862</v>
      </c>
      <c r="AL114" s="74">
        <f t="shared" si="7"/>
        <v>17211351.299028922</v>
      </c>
      <c r="AM114" s="74">
        <f t="shared" si="7"/>
        <v>16162369.496676533</v>
      </c>
      <c r="AN114" s="74">
        <f t="shared" si="7"/>
        <v>15177320.08420736</v>
      </c>
      <c r="AO114" s="74">
        <f t="shared" si="7"/>
        <v>14252306.568405772</v>
      </c>
      <c r="AP114" s="74">
        <f t="shared" si="7"/>
        <v>13383669.935984667</v>
      </c>
      <c r="AQ114" s="74">
        <f t="shared" si="7"/>
        <v>12567974.179874523</v>
      </c>
      <c r="AR114" s="74">
        <f t="shared" si="7"/>
        <v>11801992.707643062</v>
      </c>
      <c r="AS114" s="74">
        <f t="shared" si="7"/>
        <v>11082695.578282179</v>
      </c>
      <c r="AT114" s="74">
        <f t="shared" si="7"/>
        <v>10407237.516875623</v>
      </c>
      <c r="AU114" s="73">
        <f t="shared" si="7"/>
        <v>9772946.6597377788</v>
      </c>
      <c r="AV114" s="73">
        <f t="shared" si="7"/>
        <v>9177313.9855035432</v>
      </c>
      <c r="AW114" s="73">
        <f t="shared" si="7"/>
        <v>8617983.3903625067</v>
      </c>
      <c r="AX114" s="73">
        <f t="shared" si="7"/>
        <v>8092742.3681787644</v>
      </c>
      <c r="AY114" s="73">
        <f t="shared" si="7"/>
        <v>7599513.2586303074</v>
      </c>
      <c r="AZ114" s="73">
        <f t="shared" si="7"/>
        <v>7136345.0287488662</v>
      </c>
      <c r="BA114" s="73">
        <f t="shared" si="7"/>
        <v>6701405.5553509882</v>
      </c>
      <c r="BB114" s="73">
        <f t="shared" si="7"/>
        <v>6292974.3778325208</v>
      </c>
      <c r="BC114" s="73">
        <f t="shared" ref="BC114:BL114" si="8">IF(BC113&lt;&gt;" ",BC113/((1+WACC_real)^(BC112)), " ")</f>
        <v>5909435.8926591557</v>
      </c>
      <c r="BD114" s="73">
        <f t="shared" si="8"/>
        <v>5549272.9626330137</v>
      </c>
      <c r="BE114" s="73">
        <f t="shared" si="8"/>
        <v>5211060.9156558197</v>
      </c>
      <c r="BF114" s="73">
        <f t="shared" si="8"/>
        <v>4893461.9092500219</v>
      </c>
      <c r="BG114" s="73">
        <f t="shared" si="8"/>
        <v>4595219.638545949</v>
      </c>
      <c r="BH114" s="73">
        <f t="shared" si="8"/>
        <v>4315154.3668017732</v>
      </c>
      <c r="BI114" s="73">
        <f t="shared" si="8"/>
        <v>4052158.2587988004</v>
      </c>
      <c r="BJ114" s="73">
        <f t="shared" si="8"/>
        <v>3805190.9986527772</v>
      </c>
      <c r="BK114" s="73">
        <f t="shared" si="8"/>
        <v>3573275.6747068241</v>
      </c>
      <c r="BL114" s="73">
        <f t="shared" si="8"/>
        <v>3355494.9152282001</v>
      </c>
    </row>
    <row r="115" spans="3:64">
      <c r="D115" s="28"/>
      <c r="E115" s="77"/>
      <c r="F115" s="77"/>
      <c r="G115" s="77"/>
      <c r="H115" s="77"/>
      <c r="I115" s="77"/>
      <c r="J115" s="77"/>
      <c r="K115" s="77"/>
      <c r="L115" s="77"/>
      <c r="M115" s="77"/>
      <c r="N115" s="77"/>
      <c r="O115" s="77"/>
      <c r="P115" s="77"/>
      <c r="Q115" s="77"/>
      <c r="R115" s="77"/>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row>
    <row r="116" spans="3:64">
      <c r="C116" s="27" t="s">
        <v>212</v>
      </c>
      <c r="D116" s="78">
        <f>SUM(D114:BL114)</f>
        <v>2197820012.3972669</v>
      </c>
      <c r="E116" s="28"/>
      <c r="F116" s="28"/>
      <c r="G116" s="28"/>
      <c r="H116" s="28"/>
      <c r="I116" s="28"/>
      <c r="J116" s="28"/>
      <c r="K116" s="28"/>
      <c r="L116" s="28"/>
      <c r="M116" s="28"/>
      <c r="N116" s="28"/>
      <c r="O116" s="28"/>
      <c r="P116" s="28"/>
      <c r="Q116" s="28"/>
      <c r="R116" s="28"/>
    </row>
    <row r="117" spans="3:64">
      <c r="C117" s="27"/>
      <c r="D117" s="85" t="s">
        <v>213</v>
      </c>
      <c r="E117" s="28"/>
      <c r="F117" s="28"/>
      <c r="G117" s="28"/>
      <c r="H117" s="28"/>
      <c r="I117" s="28"/>
      <c r="J117" s="28"/>
      <c r="K117" s="28"/>
      <c r="L117" s="28"/>
      <c r="M117" s="28"/>
      <c r="N117" s="28"/>
      <c r="O117" s="28"/>
      <c r="P117" s="28"/>
      <c r="Q117" s="28"/>
      <c r="R117" s="28"/>
    </row>
    <row r="118" spans="3:64">
      <c r="C118" s="3"/>
      <c r="D118" s="28"/>
      <c r="E118" s="28"/>
      <c r="F118" s="28"/>
      <c r="G118" s="28"/>
      <c r="H118" s="28"/>
      <c r="I118" s="28"/>
      <c r="J118" s="28"/>
      <c r="K118" s="28"/>
      <c r="L118" s="28"/>
      <c r="M118" s="28"/>
      <c r="N118" s="28"/>
      <c r="O118" s="28"/>
      <c r="P118" s="28"/>
      <c r="Q118" s="28"/>
      <c r="R118" s="28"/>
    </row>
    <row r="119" spans="3:64">
      <c r="C119" s="3" t="s">
        <v>61</v>
      </c>
      <c r="D119" s="28"/>
      <c r="E119" s="28"/>
      <c r="F119" s="28"/>
      <c r="G119" s="28"/>
      <c r="H119" s="28"/>
      <c r="I119" s="28"/>
      <c r="J119" s="28"/>
      <c r="K119" s="28"/>
      <c r="L119" s="28"/>
      <c r="M119" s="28"/>
      <c r="N119" s="28"/>
      <c r="O119" s="28"/>
      <c r="P119" s="28"/>
      <c r="Q119" s="28"/>
      <c r="R119" s="28"/>
    </row>
    <row r="120" spans="3:64">
      <c r="C120" s="54" t="s">
        <v>62</v>
      </c>
      <c r="D120" s="65">
        <v>0</v>
      </c>
      <c r="E120" s="129">
        <f>IF(E113&lt;&gt;" ",($J$33*$J$20*1000)*((1+'Assumptions &amp; Parameters'!$J$21)^(E112-1))," ")</f>
        <v>1872000</v>
      </c>
      <c r="F120" s="129">
        <f>IF(F113&lt;&gt;" ",($J$33*$J$20*1000)*((1+'Assumptions &amp; Parameters'!$J$21)^(F112-1))," ")</f>
        <v>1909440</v>
      </c>
      <c r="G120" s="129">
        <f>IF(G113&lt;&gt;" ",($J$33*$J$20*1000)*((1+'Assumptions &amp; Parameters'!$J$21)^(G112-1))," ")</f>
        <v>1947628.8</v>
      </c>
      <c r="H120" s="129">
        <f>IF(H113&lt;&gt;" ",($J$33*$J$20*1000)*((1+'Assumptions &amp; Parameters'!$J$21)^(H112-1))," ")</f>
        <v>1986581.3759999999</v>
      </c>
      <c r="I120" s="129">
        <f>IF(I113&lt;&gt;" ",($J$33*$J$20*1000)*((1+'Assumptions &amp; Parameters'!$J$21)^(I112-1))," ")</f>
        <v>2026313.00352</v>
      </c>
      <c r="J120" s="129">
        <f>IF(J113&lt;&gt;" ",($J$33*$J$20*1000)*((1+'Assumptions &amp; Parameters'!$J$21)^(J112-1))," ")</f>
        <v>2066839.2635904001</v>
      </c>
      <c r="K120" s="129">
        <f>IF(K113&lt;&gt;" ",($J$33*$J$20*1000)*((1+'Assumptions &amp; Parameters'!$J$21)^(K112-1))," ")</f>
        <v>2108176.0488622081</v>
      </c>
      <c r="L120" s="129">
        <f>IF(L113&lt;&gt;" ",($J$33*$J$20*1000)*((1+'Assumptions &amp; Parameters'!$J$21)^(L112-1))," ")</f>
        <v>2150339.5698394519</v>
      </c>
      <c r="M120" s="129">
        <f>IF(M113&lt;&gt;" ",($J$33*$J$20*1000)*((1+'Assumptions &amp; Parameters'!$J$21)^(M112-1))," ")</f>
        <v>2193346.3612362412</v>
      </c>
      <c r="N120" s="129">
        <f>IF(N113&lt;&gt;" ",($J$33*$J$20*1000)*((1+'Assumptions &amp; Parameters'!$J$21)^(N112-1))," ")</f>
        <v>2237213.2884609657</v>
      </c>
      <c r="O120" s="129">
        <f>IF(O113&lt;&gt;" ",($J$33*$J$20*1000)*((1+'Assumptions &amp; Parameters'!$J$21)^(O112-1))," ")</f>
        <v>2281957.5542301852</v>
      </c>
      <c r="P120" s="129">
        <f>IF(P113&lt;&gt;" ",($J$33*$J$20*1000)*((1+'Assumptions &amp; Parameters'!$J$21)^(P112-1))," ")</f>
        <v>2327596.7053147885</v>
      </c>
      <c r="Q120" s="129">
        <f>IF(Q113&lt;&gt;" ",($J$33*$J$20*1000)*((1+'Assumptions &amp; Parameters'!$J$21)^(Q112-1))," ")</f>
        <v>2374148.6394210849</v>
      </c>
      <c r="R120" s="129">
        <f>IF(R113&lt;&gt;" ",($J$33*$J$20*1000)*((1+'Assumptions &amp; Parameters'!$J$21)^(R112-1))," ")</f>
        <v>2421631.6122095063</v>
      </c>
      <c r="S120" s="129">
        <f>IF(S113&lt;&gt;" ",($J$33*$J$20*1000)*((1+'Assumptions &amp; Parameters'!$J$21)^(S112-1))," ")</f>
        <v>2470064.2444536965</v>
      </c>
      <c r="T120" s="129">
        <f>IF(T113&lt;&gt;" ",($J$33*$J$20*1000)*((1+'Assumptions &amp; Parameters'!$J$21)^(T112-1))," ")</f>
        <v>2519465.5293427701</v>
      </c>
      <c r="U120" s="129">
        <f>IF(U113&lt;&gt;" ",($J$33*$J$20*1000)*((1+'Assumptions &amp; Parameters'!$J$21)^(U112-1))," ")</f>
        <v>2569854.8399296259</v>
      </c>
      <c r="V120" s="129">
        <f>IF(V113&lt;&gt;" ",($J$33*$J$20*1000)*((1+'Assumptions &amp; Parameters'!$J$21)^(V112-1))," ")</f>
        <v>2621251.9367282186</v>
      </c>
      <c r="W120" s="129">
        <f>IF(W113&lt;&gt;" ",($J$33*$J$20*1000)*((1+'Assumptions &amp; Parameters'!$J$21)^(W112-1))," ")</f>
        <v>2673676.9754627827</v>
      </c>
      <c r="X120" s="129">
        <f>IF(X113&lt;&gt;" ",($J$33*$J$20*1000)*((1+'Assumptions &amp; Parameters'!$J$21)^(X112-1))," ")</f>
        <v>2727150.5149720381</v>
      </c>
      <c r="Y120" s="129">
        <f>IF(Y113&lt;&gt;" ",($J$33*$J$20*1000)*((1+'Assumptions &amp; Parameters'!$J$21)^(Y112-1))," ")</f>
        <v>2781693.525271479</v>
      </c>
      <c r="Z120" s="129">
        <f>IF(Z113&lt;&gt;" ",($J$33*$J$20*1000)*((1+'Assumptions &amp; Parameters'!$J$21)^(Z112-1))," ")</f>
        <v>2837327.3957769084</v>
      </c>
      <c r="AA120" s="129">
        <f>IF(AA113&lt;&gt;" ",($J$33*$J$20*1000)*((1+'Assumptions &amp; Parameters'!$J$21)^(AA112-1))," ")</f>
        <v>2894073.9436924467</v>
      </c>
      <c r="AB120" s="129">
        <f>IF(AB113&lt;&gt;" ",($J$33*$J$20*1000)*((1+'Assumptions &amp; Parameters'!$J$21)^(AB112-1))," ")</f>
        <v>2951955.4225662951</v>
      </c>
      <c r="AC120" s="129">
        <f>IF(AC113&lt;&gt;" ",($J$33*$J$20*1000)*((1+'Assumptions &amp; Parameters'!$J$21)^(AC112-1))," ")</f>
        <v>3010994.531017621</v>
      </c>
      <c r="AD120" s="129">
        <f>IF(AD113&lt;&gt;" ",($J$33*$J$20*1000)*((1+'Assumptions &amp; Parameters'!$J$21)^(AD112-1))," ")</f>
        <v>3071214.4216379737</v>
      </c>
      <c r="AE120" s="129">
        <f>IF(AE113&lt;&gt;" ",($J$33*$J$20*1000)*((1+'Assumptions &amp; Parameters'!$J$21)^(AE112-1))," ")</f>
        <v>3132638.7100707334</v>
      </c>
      <c r="AF120" s="129">
        <f>IF(AF113&lt;&gt;" ",($J$33*$J$20*1000)*((1+'Assumptions &amp; Parameters'!$J$21)^(AF112-1))," ")</f>
        <v>3195291.4842721475</v>
      </c>
      <c r="AG120" s="129">
        <f>IF(AG113&lt;&gt;" ",($J$33*$J$20*1000)*((1+'Assumptions &amp; Parameters'!$J$21)^(AG112-1))," ")</f>
        <v>3259197.3139575911</v>
      </c>
      <c r="AH120" s="129">
        <f>IF(AH113&lt;&gt;" ",($J$33*$J$20*1000)*((1+'Assumptions &amp; Parameters'!$J$21)^(AH112-1))," ")</f>
        <v>3324381.2602367424</v>
      </c>
      <c r="AI120" s="129">
        <f>IF(AI113&lt;&gt;" ",($J$33*$J$20*1000)*((1+'Assumptions &amp; Parameters'!$J$21)^(AI112-1))," ")</f>
        <v>3390868.8854414779</v>
      </c>
      <c r="AJ120" s="129">
        <f>IF(AJ113&lt;&gt;" ",($J$33*$J$20*1000)*((1+'Assumptions &amp; Parameters'!$J$21)^(AJ112-1))," ")</f>
        <v>3458686.2631503064</v>
      </c>
      <c r="AK120" s="129">
        <f>IF(AK113&lt;&gt;" ",($J$33*$J$20*1000)*((1+'Assumptions &amp; Parameters'!$J$21)^(AK112-1))," ")</f>
        <v>3527859.9884133134</v>
      </c>
      <c r="AL120" s="129">
        <f>IF(AL113&lt;&gt;" ",($J$33*$J$20*1000)*((1+'Assumptions &amp; Parameters'!$J$21)^(AL112-1))," ")</f>
        <v>3598417.18818158</v>
      </c>
      <c r="AM120" s="129">
        <f>IF(AM113&lt;&gt;" ",($J$33*$J$20*1000)*((1+'Assumptions &amp; Parameters'!$J$21)^(AM112-1))," ")</f>
        <v>3670385.5319452109</v>
      </c>
      <c r="AN120" s="129">
        <f>IF(AN113&lt;&gt;" ",($J$33*$J$20*1000)*((1+'Assumptions &amp; Parameters'!$J$21)^(AN112-1))," ")</f>
        <v>3743793.2425841154</v>
      </c>
      <c r="AO120" s="129">
        <f>IF(AO113&lt;&gt;" ",($J$33*$J$20*1000)*((1+'Assumptions &amp; Parameters'!$J$21)^(AO112-1))," ")</f>
        <v>3818669.1074357973</v>
      </c>
      <c r="AP120" s="129">
        <f>IF(AP113&lt;&gt;" ",($J$33*$J$20*1000)*((1+'Assumptions &amp; Parameters'!$J$21)^(AP112-1))," ")</f>
        <v>3895042.4895845139</v>
      </c>
      <c r="AQ120" s="129">
        <f>IF(AQ113&lt;&gt;" ",($J$33*$J$20*1000)*((1+'Assumptions &amp; Parameters'!$J$21)^(AQ112-1))," ")</f>
        <v>3972943.3393762046</v>
      </c>
      <c r="AR120" s="129">
        <f>IF(AR113&lt;&gt;" ",($J$33*$J$20*1000)*((1+'Assumptions &amp; Parameters'!$J$21)^(AR112-1))," ")</f>
        <v>4052402.2061637272</v>
      </c>
      <c r="AS120" s="129">
        <f>IF(AS113&lt;&gt;" ",($J$33*$J$20*1000)*((1+'Assumptions &amp; Parameters'!$J$21)^(AS112-1))," ")</f>
        <v>4133450.2502870024</v>
      </c>
      <c r="AT120" s="129">
        <f>IF(AT113&lt;&gt;" ",($J$33*$J$20*1000)*((1+'Assumptions &amp; Parameters'!$J$21)^(AT112-1))," ")</f>
        <v>4216119.2552927425</v>
      </c>
      <c r="AU120" s="129">
        <f>IF(AU113&lt;&gt;" ",($J$33*$J$20*1000)*((1+'Assumptions &amp; Parameters'!$J$21)^(AU112-1))," ")</f>
        <v>4300441.6403985973</v>
      </c>
      <c r="AV120" s="129">
        <f>IF(AV113&lt;&gt;" ",($J$33*$J$20*1000)*((1+'Assumptions &amp; Parameters'!$J$21)^(AV112-1))," ")</f>
        <v>4386450.4732065685</v>
      </c>
      <c r="AW120" s="129">
        <f>IF(AW113&lt;&gt;" ",($J$33*$J$20*1000)*((1+'Assumptions &amp; Parameters'!$J$21)^(AW112-1))," ")</f>
        <v>4474179.4826707011</v>
      </c>
      <c r="AX120" s="129">
        <f>IF(AX113&lt;&gt;" ",($J$33*$J$20*1000)*((1+'Assumptions &amp; Parameters'!$J$21)^(AX112-1))," ")</f>
        <v>4563663.0723241149</v>
      </c>
      <c r="AY120" s="129">
        <f>IF(AY113&lt;&gt;" ",($J$33*$J$20*1000)*((1+'Assumptions &amp; Parameters'!$J$21)^(AY112-1))," ")</f>
        <v>4654936.3337705974</v>
      </c>
      <c r="AZ120" s="129">
        <f>IF(AZ113&lt;&gt;" ",($J$33*$J$20*1000)*((1+'Assumptions &amp; Parameters'!$J$21)^(AZ112-1))," ")</f>
        <v>4748035.0604460081</v>
      </c>
      <c r="BA120" s="129">
        <f>IF(BA113&lt;&gt;" ",($J$33*$J$20*1000)*((1+'Assumptions &amp; Parameters'!$J$21)^(BA112-1))," ")</f>
        <v>4842995.7616549283</v>
      </c>
      <c r="BB120" s="129">
        <f>IF(BB113&lt;&gt;" ",($J$33*$J$20*1000)*((1+'Assumptions &amp; Parameters'!$J$21)^(BB112-1))," ")</f>
        <v>4939855.6768880272</v>
      </c>
      <c r="BC120" s="129">
        <f>IF(BC113&lt;&gt;" ",($J$33*$J$20*1000)*((1+'Assumptions &amp; Parameters'!$J$21)^(BC112-1))," ")</f>
        <v>5038652.7904257877</v>
      </c>
      <c r="BD120" s="129">
        <f>IF(BD113&lt;&gt;" ",($J$33*$J$20*1000)*((1+'Assumptions &amp; Parameters'!$J$21)^(BD112-1))," ")</f>
        <v>5139425.846234303</v>
      </c>
      <c r="BE120" s="129">
        <f>IF(BE113&lt;&gt;" ",($J$33*$J$20*1000)*((1+'Assumptions &amp; Parameters'!$J$21)^(BE112-1))," ")</f>
        <v>5242214.3631589906</v>
      </c>
      <c r="BF120" s="129">
        <f>IF(BF113&lt;&gt;" ",($J$33*$J$20*1000)*((1+'Assumptions &amp; Parameters'!$J$21)^(BF112-1))," ")</f>
        <v>5347058.6504221689</v>
      </c>
      <c r="BG120" s="129">
        <f>IF(BG113&lt;&gt;" ",($J$33*$J$20*1000)*((1+'Assumptions &amp; Parameters'!$J$21)^(BG112-1))," ")</f>
        <v>5453999.8234306136</v>
      </c>
      <c r="BH120" s="129">
        <f>IF(BH113&lt;&gt;" ",($J$33*$J$20*1000)*((1+'Assumptions &amp; Parameters'!$J$21)^(BH112-1))," ")</f>
        <v>5563079.8198992237</v>
      </c>
      <c r="BI120" s="129">
        <f>IF(BI113&lt;&gt;" ",($J$33*$J$20*1000)*((1+'Assumptions &amp; Parameters'!$J$21)^(BI112-1))," ")</f>
        <v>5674341.4162972085</v>
      </c>
      <c r="BJ120" s="129">
        <f>IF(BJ113&lt;&gt;" ",($J$33*$J$20*1000)*((1+'Assumptions &amp; Parameters'!$J$21)^(BJ112-1))," ")</f>
        <v>5787828.2446231525</v>
      </c>
      <c r="BK120" s="129">
        <f>IF(BK113&lt;&gt;" ",($J$33*$J$20*1000)*((1+'Assumptions &amp; Parameters'!$J$21)^(BK112-1))," ")</f>
        <v>5903584.8095156169</v>
      </c>
      <c r="BL120" s="129">
        <f>IF(BL113&lt;&gt;" ",($J$33*$J$20*1000)*((1+'Assumptions &amp; Parameters'!$J$21)^(BL112-1))," ")</f>
        <v>6021656.5057059275</v>
      </c>
    </row>
    <row r="121" spans="3:64">
      <c r="C121" s="42" t="s">
        <v>63</v>
      </c>
      <c r="D121" s="66"/>
      <c r="E121" s="127">
        <f t="shared" ref="E121:AJ121" si="9">IF(E113&lt;&gt;" ",E120/((1+WACC_real)^(E112)), " ")</f>
        <v>1757907.044723765</v>
      </c>
      <c r="F121" s="127">
        <f>IF(F113&lt;&gt;" ",F120/((1+WACC_real)^(F112)), " ")</f>
        <v>1683783.07769617</v>
      </c>
      <c r="G121" s="127">
        <f t="shared" si="9"/>
        <v>1612784.6243323372</v>
      </c>
      <c r="H121" s="127">
        <f t="shared" si="9"/>
        <v>1544779.8941189672</v>
      </c>
      <c r="I121" s="127">
        <f t="shared" si="9"/>
        <v>1479642.6536259358</v>
      </c>
      <c r="J121" s="127">
        <f t="shared" si="9"/>
        <v>1417251.9921861403</v>
      </c>
      <c r="K121" s="127">
        <f t="shared" si="9"/>
        <v>1357492.0974556957</v>
      </c>
      <c r="L121" s="127">
        <f t="shared" si="9"/>
        <v>1300252.0404378695</v>
      </c>
      <c r="M121" s="127">
        <f t="shared" si="9"/>
        <v>1245425.5695717009</v>
      </c>
      <c r="N121" s="127">
        <f t="shared" si="9"/>
        <v>1192910.9135030902</v>
      </c>
      <c r="O121" s="127">
        <f t="shared" si="9"/>
        <v>1142610.5921722453</v>
      </c>
      <c r="P121" s="127">
        <f t="shared" si="9"/>
        <v>1094431.2358668239</v>
      </c>
      <c r="Q121" s="127">
        <f t="shared" si="9"/>
        <v>1048283.4119048864</v>
      </c>
      <c r="R121" s="127">
        <f t="shared" si="9"/>
        <v>1004081.4586259389</v>
      </c>
      <c r="S121" s="127">
        <f t="shared" si="9"/>
        <v>961743.32638191897</v>
      </c>
      <c r="T121" s="127">
        <f t="shared" si="9"/>
        <v>921190.42523295921</v>
      </c>
      <c r="U121" s="127">
        <f t="shared" si="9"/>
        <v>882347.47906521475</v>
      </c>
      <c r="V121" s="127">
        <f t="shared" si="9"/>
        <v>845142.38585996581</v>
      </c>
      <c r="W121" s="127">
        <f t="shared" si="9"/>
        <v>809506.08385461639</v>
      </c>
      <c r="X121" s="127">
        <f t="shared" si="9"/>
        <v>775372.42334715417</v>
      </c>
      <c r="Y121" s="127">
        <f t="shared" si="9"/>
        <v>742678.0439061058</v>
      </c>
      <c r="Z121" s="127">
        <f t="shared" si="9"/>
        <v>711362.25675806263</v>
      </c>
      <c r="AA121" s="127">
        <f t="shared" si="9"/>
        <v>681366.93213445833</v>
      </c>
      <c r="AB121" s="127">
        <f t="shared" si="9"/>
        <v>652636.39136848482</v>
      </c>
      <c r="AC121" s="127">
        <f t="shared" si="9"/>
        <v>625117.30354185402</v>
      </c>
      <c r="AD121" s="127">
        <f t="shared" si="9"/>
        <v>598758.58648955589</v>
      </c>
      <c r="AE121" s="127">
        <f t="shared" si="9"/>
        <v>573511.31197885191</v>
      </c>
      <c r="AF121" s="127">
        <f t="shared" si="9"/>
        <v>549328.61488649598</v>
      </c>
      <c r="AG121" s="127">
        <f t="shared" si="9"/>
        <v>526165.60620559088</v>
      </c>
      <c r="AH121" s="127">
        <f t="shared" si="9"/>
        <v>503979.28972059919</v>
      </c>
      <c r="AI121" s="127">
        <f t="shared" si="9"/>
        <v>482728.48219584144</v>
      </c>
      <c r="AJ121" s="127">
        <f t="shared" si="9"/>
        <v>462373.73692932574</v>
      </c>
      <c r="AK121" s="127">
        <f t="shared" ref="AK121:BL121" si="10">IF(AK113&lt;&gt;" ",AK120/((1+WACC_real)^(AK112)), " ")</f>
        <v>442877.27053001133</v>
      </c>
      <c r="AL121" s="127">
        <f t="shared" si="10"/>
        <v>424202.89278258249</v>
      </c>
      <c r="AM121" s="127">
        <f t="shared" si="10"/>
        <v>406315.93946954893</v>
      </c>
      <c r="AN121" s="127">
        <f t="shared" si="10"/>
        <v>389183.20802597044</v>
      </c>
      <c r="AO121" s="127">
        <f t="shared" si="10"/>
        <v>372772.89590736589</v>
      </c>
      <c r="AP121" s="127">
        <f t="shared" si="10"/>
        <v>357054.54155640502</v>
      </c>
      <c r="AQ121" s="127">
        <f t="shared" si="10"/>
        <v>341998.96785879863</v>
      </c>
      <c r="AR121" s="127">
        <f t="shared" si="10"/>
        <v>327578.22798343131</v>
      </c>
      <c r="AS121" s="127">
        <f t="shared" si="10"/>
        <v>313765.5535061995</v>
      </c>
      <c r="AT121" s="127">
        <f t="shared" si="10"/>
        <v>300535.30472126266</v>
      </c>
      <c r="AU121" s="127">
        <f t="shared" si="10"/>
        <v>287862.92304747069</v>
      </c>
      <c r="AV121" s="127">
        <f t="shared" si="10"/>
        <v>275724.88544162514</v>
      </c>
      <c r="AW121" s="127">
        <f t="shared" si="10"/>
        <v>264098.66073395079</v>
      </c>
      <c r="AX121" s="127">
        <f t="shared" si="10"/>
        <v>252962.66780472762</v>
      </c>
      <c r="AY121" s="127">
        <f t="shared" si="10"/>
        <v>242296.23552444938</v>
      </c>
      <c r="AZ121" s="127">
        <f t="shared" si="10"/>
        <v>232079.56438314513</v>
      </c>
      <c r="BA121" s="127">
        <f t="shared" si="10"/>
        <v>222293.68973764128</v>
      </c>
      <c r="BB121" s="127">
        <f t="shared" si="10"/>
        <v>212920.44660854028</v>
      </c>
      <c r="BC121" s="127">
        <f t="shared" si="10"/>
        <v>203942.43596157094</v>
      </c>
      <c r="BD121" s="127">
        <f t="shared" si="10"/>
        <v>195342.99241072134</v>
      </c>
      <c r="BE121" s="127">
        <f t="shared" si="10"/>
        <v>187106.15328320125</v>
      </c>
      <c r="BF121" s="127">
        <f t="shared" si="10"/>
        <v>179216.62898881309</v>
      </c>
      <c r="BG121" s="127">
        <f t="shared" si="10"/>
        <v>171659.77463872943</v>
      </c>
      <c r="BH121" s="127">
        <f t="shared" si="10"/>
        <v>164421.56286099288</v>
      </c>
      <c r="BI121" s="127">
        <f t="shared" si="10"/>
        <v>157488.55776227955</v>
      </c>
      <c r="BJ121" s="127">
        <f t="shared" si="10"/>
        <v>150847.88998759128</v>
      </c>
      <c r="BK121" s="127">
        <f t="shared" si="10"/>
        <v>144487.23283158132</v>
      </c>
      <c r="BL121" s="127">
        <f t="shared" si="10"/>
        <v>138394.77935717159</v>
      </c>
    </row>
    <row r="122" spans="3:64">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row>
    <row r="123" spans="3:64">
      <c r="C123" s="2" t="s">
        <v>64</v>
      </c>
      <c r="D123" s="65">
        <v>0</v>
      </c>
      <c r="E123" s="129">
        <f t="shared" ref="E123:AJ123" si="11">IF(E113&lt;&gt;" ",($J$34*$I$106)," ")</f>
        <v>0</v>
      </c>
      <c r="F123" s="129">
        <f t="shared" si="11"/>
        <v>0</v>
      </c>
      <c r="G123" s="129">
        <f t="shared" si="11"/>
        <v>0</v>
      </c>
      <c r="H123" s="129">
        <f t="shared" si="11"/>
        <v>0</v>
      </c>
      <c r="I123" s="129">
        <f t="shared" si="11"/>
        <v>0</v>
      </c>
      <c r="J123" s="129">
        <f t="shared" si="11"/>
        <v>0</v>
      </c>
      <c r="K123" s="129">
        <f t="shared" si="11"/>
        <v>0</v>
      </c>
      <c r="L123" s="129">
        <f t="shared" si="11"/>
        <v>0</v>
      </c>
      <c r="M123" s="129">
        <f t="shared" si="11"/>
        <v>0</v>
      </c>
      <c r="N123" s="129">
        <f t="shared" si="11"/>
        <v>0</v>
      </c>
      <c r="O123" s="129">
        <f t="shared" si="11"/>
        <v>0</v>
      </c>
      <c r="P123" s="129">
        <f t="shared" si="11"/>
        <v>0</v>
      </c>
      <c r="Q123" s="129">
        <f t="shared" si="11"/>
        <v>0</v>
      </c>
      <c r="R123" s="129">
        <f t="shared" si="11"/>
        <v>0</v>
      </c>
      <c r="S123" s="129">
        <f t="shared" si="11"/>
        <v>0</v>
      </c>
      <c r="T123" s="129">
        <f t="shared" si="11"/>
        <v>0</v>
      </c>
      <c r="U123" s="129">
        <f t="shared" si="11"/>
        <v>0</v>
      </c>
      <c r="V123" s="129">
        <f t="shared" si="11"/>
        <v>0</v>
      </c>
      <c r="W123" s="129">
        <f t="shared" si="11"/>
        <v>0</v>
      </c>
      <c r="X123" s="129">
        <f t="shared" si="11"/>
        <v>0</v>
      </c>
      <c r="Y123" s="129">
        <f t="shared" si="11"/>
        <v>0</v>
      </c>
      <c r="Z123" s="129">
        <f t="shared" si="11"/>
        <v>0</v>
      </c>
      <c r="AA123" s="129">
        <f t="shared" si="11"/>
        <v>0</v>
      </c>
      <c r="AB123" s="129">
        <f t="shared" si="11"/>
        <v>0</v>
      </c>
      <c r="AC123" s="129">
        <f t="shared" si="11"/>
        <v>0</v>
      </c>
      <c r="AD123" s="129">
        <f t="shared" si="11"/>
        <v>0</v>
      </c>
      <c r="AE123" s="129">
        <f t="shared" si="11"/>
        <v>0</v>
      </c>
      <c r="AF123" s="129">
        <f t="shared" si="11"/>
        <v>0</v>
      </c>
      <c r="AG123" s="129">
        <f t="shared" si="11"/>
        <v>0</v>
      </c>
      <c r="AH123" s="129">
        <f t="shared" si="11"/>
        <v>0</v>
      </c>
      <c r="AI123" s="129">
        <f t="shared" si="11"/>
        <v>0</v>
      </c>
      <c r="AJ123" s="129">
        <f t="shared" si="11"/>
        <v>0</v>
      </c>
      <c r="AK123" s="129">
        <f t="shared" ref="AK123:BL123" si="12">IF(AK113&lt;&gt;" ",($J$34*$I$106)," ")</f>
        <v>0</v>
      </c>
      <c r="AL123" s="129">
        <f t="shared" si="12"/>
        <v>0</v>
      </c>
      <c r="AM123" s="129">
        <f t="shared" si="12"/>
        <v>0</v>
      </c>
      <c r="AN123" s="129">
        <f t="shared" si="12"/>
        <v>0</v>
      </c>
      <c r="AO123" s="129">
        <f t="shared" si="12"/>
        <v>0</v>
      </c>
      <c r="AP123" s="129">
        <f t="shared" si="12"/>
        <v>0</v>
      </c>
      <c r="AQ123" s="129">
        <f t="shared" si="12"/>
        <v>0</v>
      </c>
      <c r="AR123" s="129">
        <f t="shared" si="12"/>
        <v>0</v>
      </c>
      <c r="AS123" s="129">
        <f t="shared" si="12"/>
        <v>0</v>
      </c>
      <c r="AT123" s="129">
        <f t="shared" si="12"/>
        <v>0</v>
      </c>
      <c r="AU123" s="129">
        <f t="shared" si="12"/>
        <v>0</v>
      </c>
      <c r="AV123" s="129">
        <f t="shared" si="12"/>
        <v>0</v>
      </c>
      <c r="AW123" s="129">
        <f t="shared" si="12"/>
        <v>0</v>
      </c>
      <c r="AX123" s="129">
        <f t="shared" si="12"/>
        <v>0</v>
      </c>
      <c r="AY123" s="129">
        <f t="shared" si="12"/>
        <v>0</v>
      </c>
      <c r="AZ123" s="129">
        <f t="shared" si="12"/>
        <v>0</v>
      </c>
      <c r="BA123" s="129">
        <f t="shared" si="12"/>
        <v>0</v>
      </c>
      <c r="BB123" s="129">
        <f t="shared" si="12"/>
        <v>0</v>
      </c>
      <c r="BC123" s="129">
        <f t="shared" si="12"/>
        <v>0</v>
      </c>
      <c r="BD123" s="129">
        <f t="shared" si="12"/>
        <v>0</v>
      </c>
      <c r="BE123" s="129">
        <f t="shared" si="12"/>
        <v>0</v>
      </c>
      <c r="BF123" s="129">
        <f t="shared" si="12"/>
        <v>0</v>
      </c>
      <c r="BG123" s="129">
        <f t="shared" si="12"/>
        <v>0</v>
      </c>
      <c r="BH123" s="129">
        <f t="shared" si="12"/>
        <v>0</v>
      </c>
      <c r="BI123" s="129">
        <f t="shared" si="12"/>
        <v>0</v>
      </c>
      <c r="BJ123" s="129">
        <f t="shared" si="12"/>
        <v>0</v>
      </c>
      <c r="BK123" s="129">
        <f t="shared" si="12"/>
        <v>0</v>
      </c>
      <c r="BL123" s="129">
        <f t="shared" si="12"/>
        <v>0</v>
      </c>
    </row>
    <row r="124" spans="3:64">
      <c r="C124" s="42" t="s">
        <v>63</v>
      </c>
      <c r="D124" s="66"/>
      <c r="E124" s="127">
        <f t="shared" ref="E124:AJ124" si="13">IF(E113&lt;&gt;" ",E123/((1+WACC_real)^(E112)), " ")</f>
        <v>0</v>
      </c>
      <c r="F124" s="127">
        <f t="shared" si="13"/>
        <v>0</v>
      </c>
      <c r="G124" s="127">
        <f t="shared" si="13"/>
        <v>0</v>
      </c>
      <c r="H124" s="127">
        <f t="shared" si="13"/>
        <v>0</v>
      </c>
      <c r="I124" s="127">
        <f t="shared" si="13"/>
        <v>0</v>
      </c>
      <c r="J124" s="127">
        <f t="shared" si="13"/>
        <v>0</v>
      </c>
      <c r="K124" s="127">
        <f t="shared" si="13"/>
        <v>0</v>
      </c>
      <c r="L124" s="127">
        <f t="shared" si="13"/>
        <v>0</v>
      </c>
      <c r="M124" s="127">
        <f t="shared" si="13"/>
        <v>0</v>
      </c>
      <c r="N124" s="127">
        <f t="shared" si="13"/>
        <v>0</v>
      </c>
      <c r="O124" s="127">
        <f t="shared" si="13"/>
        <v>0</v>
      </c>
      <c r="P124" s="127">
        <f t="shared" si="13"/>
        <v>0</v>
      </c>
      <c r="Q124" s="127">
        <f t="shared" si="13"/>
        <v>0</v>
      </c>
      <c r="R124" s="127">
        <f t="shared" si="13"/>
        <v>0</v>
      </c>
      <c r="S124" s="127">
        <f t="shared" si="13"/>
        <v>0</v>
      </c>
      <c r="T124" s="127">
        <f t="shared" si="13"/>
        <v>0</v>
      </c>
      <c r="U124" s="127">
        <f t="shared" si="13"/>
        <v>0</v>
      </c>
      <c r="V124" s="127">
        <f t="shared" si="13"/>
        <v>0</v>
      </c>
      <c r="W124" s="127">
        <f t="shared" si="13"/>
        <v>0</v>
      </c>
      <c r="X124" s="127">
        <f t="shared" si="13"/>
        <v>0</v>
      </c>
      <c r="Y124" s="127">
        <f t="shared" si="13"/>
        <v>0</v>
      </c>
      <c r="Z124" s="127">
        <f t="shared" si="13"/>
        <v>0</v>
      </c>
      <c r="AA124" s="127">
        <f t="shared" si="13"/>
        <v>0</v>
      </c>
      <c r="AB124" s="127">
        <f t="shared" si="13"/>
        <v>0</v>
      </c>
      <c r="AC124" s="127">
        <f t="shared" si="13"/>
        <v>0</v>
      </c>
      <c r="AD124" s="127">
        <f t="shared" si="13"/>
        <v>0</v>
      </c>
      <c r="AE124" s="127">
        <f t="shared" si="13"/>
        <v>0</v>
      </c>
      <c r="AF124" s="127">
        <f t="shared" si="13"/>
        <v>0</v>
      </c>
      <c r="AG124" s="127">
        <f t="shared" si="13"/>
        <v>0</v>
      </c>
      <c r="AH124" s="127">
        <f t="shared" si="13"/>
        <v>0</v>
      </c>
      <c r="AI124" s="127">
        <f t="shared" si="13"/>
        <v>0</v>
      </c>
      <c r="AJ124" s="127">
        <f t="shared" si="13"/>
        <v>0</v>
      </c>
      <c r="AK124" s="127">
        <f t="shared" ref="AK124:BL124" si="14">IF(AK113&lt;&gt;" ",AK123/((1+WACC_real)^(AK112)), " ")</f>
        <v>0</v>
      </c>
      <c r="AL124" s="127">
        <f t="shared" si="14"/>
        <v>0</v>
      </c>
      <c r="AM124" s="127">
        <f t="shared" si="14"/>
        <v>0</v>
      </c>
      <c r="AN124" s="127">
        <f t="shared" si="14"/>
        <v>0</v>
      </c>
      <c r="AO124" s="127">
        <f t="shared" si="14"/>
        <v>0</v>
      </c>
      <c r="AP124" s="127">
        <f t="shared" si="14"/>
        <v>0</v>
      </c>
      <c r="AQ124" s="127">
        <f t="shared" si="14"/>
        <v>0</v>
      </c>
      <c r="AR124" s="127">
        <f t="shared" si="14"/>
        <v>0</v>
      </c>
      <c r="AS124" s="127">
        <f t="shared" si="14"/>
        <v>0</v>
      </c>
      <c r="AT124" s="127">
        <f t="shared" si="14"/>
        <v>0</v>
      </c>
      <c r="AU124" s="127">
        <f t="shared" si="14"/>
        <v>0</v>
      </c>
      <c r="AV124" s="127">
        <f t="shared" si="14"/>
        <v>0</v>
      </c>
      <c r="AW124" s="127">
        <f t="shared" si="14"/>
        <v>0</v>
      </c>
      <c r="AX124" s="127">
        <f t="shared" si="14"/>
        <v>0</v>
      </c>
      <c r="AY124" s="127">
        <f t="shared" si="14"/>
        <v>0</v>
      </c>
      <c r="AZ124" s="127">
        <f t="shared" si="14"/>
        <v>0</v>
      </c>
      <c r="BA124" s="127">
        <f t="shared" si="14"/>
        <v>0</v>
      </c>
      <c r="BB124" s="127">
        <f t="shared" si="14"/>
        <v>0</v>
      </c>
      <c r="BC124" s="127">
        <f t="shared" si="14"/>
        <v>0</v>
      </c>
      <c r="BD124" s="127">
        <f t="shared" si="14"/>
        <v>0</v>
      </c>
      <c r="BE124" s="127">
        <f t="shared" si="14"/>
        <v>0</v>
      </c>
      <c r="BF124" s="127">
        <f t="shared" si="14"/>
        <v>0</v>
      </c>
      <c r="BG124" s="127">
        <f t="shared" si="14"/>
        <v>0</v>
      </c>
      <c r="BH124" s="127">
        <f t="shared" si="14"/>
        <v>0</v>
      </c>
      <c r="BI124" s="127">
        <f t="shared" si="14"/>
        <v>0</v>
      </c>
      <c r="BJ124" s="127">
        <f t="shared" si="14"/>
        <v>0</v>
      </c>
      <c r="BK124" s="127">
        <f t="shared" si="14"/>
        <v>0</v>
      </c>
      <c r="BL124" s="127">
        <f t="shared" si="14"/>
        <v>0</v>
      </c>
    </row>
    <row r="125" spans="3:64">
      <c r="C125" s="2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row>
    <row r="126" spans="3:64">
      <c r="C126" s="27" t="s">
        <v>65</v>
      </c>
      <c r="D126" s="67">
        <f>SUM(D121:BL121,D124:BL124)</f>
        <v>38546377.169784389</v>
      </c>
      <c r="E126" s="37"/>
      <c r="F126" s="37"/>
      <c r="G126" s="53"/>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row>
    <row r="127" spans="3:64">
      <c r="C127" s="27"/>
      <c r="D127" s="35"/>
      <c r="E127" s="37"/>
      <c r="F127" s="37"/>
      <c r="G127" s="53"/>
      <c r="H127" s="53"/>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row>
    <row r="128" spans="3:64">
      <c r="C128" s="3" t="s">
        <v>227</v>
      </c>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row>
    <row r="129" spans="3:64">
      <c r="C129" s="2" t="s">
        <v>66</v>
      </c>
      <c r="D129" s="68">
        <v>0</v>
      </c>
      <c r="E129" s="68">
        <f t="shared" ref="E129:AJ129" si="15">IF(E113&lt;&gt;" ", ($G$166*E113)," ")</f>
        <v>4043076.9230769225</v>
      </c>
      <c r="F129" s="68">
        <f t="shared" si="15"/>
        <v>4043076.9230769225</v>
      </c>
      <c r="G129" s="68">
        <f t="shared" si="15"/>
        <v>4043076.9230769225</v>
      </c>
      <c r="H129" s="68">
        <f t="shared" si="15"/>
        <v>4043076.9230769225</v>
      </c>
      <c r="I129" s="68">
        <f t="shared" si="15"/>
        <v>4043076.9230769225</v>
      </c>
      <c r="J129" s="68">
        <f t="shared" si="15"/>
        <v>4043076.9230769225</v>
      </c>
      <c r="K129" s="68">
        <f t="shared" si="15"/>
        <v>4043076.9230769225</v>
      </c>
      <c r="L129" s="68">
        <f t="shared" si="15"/>
        <v>4043076.9230769225</v>
      </c>
      <c r="M129" s="68">
        <f t="shared" si="15"/>
        <v>4043076.9230769225</v>
      </c>
      <c r="N129" s="68">
        <f t="shared" si="15"/>
        <v>4043076.9230769225</v>
      </c>
      <c r="O129" s="68">
        <f t="shared" si="15"/>
        <v>4043076.9230769225</v>
      </c>
      <c r="P129" s="68">
        <f t="shared" si="15"/>
        <v>4043076.9230769225</v>
      </c>
      <c r="Q129" s="68">
        <f t="shared" si="15"/>
        <v>4043076.9230769225</v>
      </c>
      <c r="R129" s="68">
        <f t="shared" si="15"/>
        <v>4043076.9230769225</v>
      </c>
      <c r="S129" s="68">
        <f t="shared" si="15"/>
        <v>4043076.9230769225</v>
      </c>
      <c r="T129" s="68">
        <f t="shared" si="15"/>
        <v>4043076.9230769225</v>
      </c>
      <c r="U129" s="68">
        <f t="shared" si="15"/>
        <v>4043076.9230769225</v>
      </c>
      <c r="V129" s="68">
        <f t="shared" si="15"/>
        <v>4043076.9230769225</v>
      </c>
      <c r="W129" s="68">
        <f t="shared" si="15"/>
        <v>4043076.9230769225</v>
      </c>
      <c r="X129" s="68">
        <f t="shared" si="15"/>
        <v>4043076.9230769225</v>
      </c>
      <c r="Y129" s="68">
        <f t="shared" si="15"/>
        <v>4043076.9230769225</v>
      </c>
      <c r="Z129" s="68">
        <f t="shared" si="15"/>
        <v>4043076.9230769225</v>
      </c>
      <c r="AA129" s="68">
        <f t="shared" si="15"/>
        <v>4043076.9230769225</v>
      </c>
      <c r="AB129" s="68">
        <f t="shared" si="15"/>
        <v>4043076.9230769225</v>
      </c>
      <c r="AC129" s="68">
        <f t="shared" si="15"/>
        <v>4043076.9230769225</v>
      </c>
      <c r="AD129" s="68">
        <f t="shared" si="15"/>
        <v>4043076.9230769225</v>
      </c>
      <c r="AE129" s="68">
        <f t="shared" si="15"/>
        <v>4043076.9230769225</v>
      </c>
      <c r="AF129" s="68">
        <f t="shared" si="15"/>
        <v>4043076.9230769225</v>
      </c>
      <c r="AG129" s="68">
        <f t="shared" si="15"/>
        <v>4043076.9230769225</v>
      </c>
      <c r="AH129" s="68">
        <f t="shared" si="15"/>
        <v>4043076.9230769225</v>
      </c>
      <c r="AI129" s="68">
        <f t="shared" si="15"/>
        <v>4043076.9230769225</v>
      </c>
      <c r="AJ129" s="68">
        <f t="shared" si="15"/>
        <v>4043076.9230769225</v>
      </c>
      <c r="AK129" s="68">
        <f t="shared" ref="AK129:BL129" si="16">IF(AK113&lt;&gt;" ", ($G$166*AK113)," ")</f>
        <v>4043076.9230769225</v>
      </c>
      <c r="AL129" s="68">
        <f t="shared" si="16"/>
        <v>4043076.9230769225</v>
      </c>
      <c r="AM129" s="68">
        <f t="shared" si="16"/>
        <v>4043076.9230769225</v>
      </c>
      <c r="AN129" s="68">
        <f t="shared" si="16"/>
        <v>4043076.9230769225</v>
      </c>
      <c r="AO129" s="68">
        <f t="shared" si="16"/>
        <v>4043076.9230769225</v>
      </c>
      <c r="AP129" s="68">
        <f t="shared" si="16"/>
        <v>4043076.9230769225</v>
      </c>
      <c r="AQ129" s="68">
        <f t="shared" si="16"/>
        <v>4043076.9230769225</v>
      </c>
      <c r="AR129" s="68">
        <f t="shared" si="16"/>
        <v>4043076.9230769225</v>
      </c>
      <c r="AS129" s="68">
        <f t="shared" si="16"/>
        <v>4043076.9230769225</v>
      </c>
      <c r="AT129" s="68">
        <f t="shared" si="16"/>
        <v>4043076.9230769225</v>
      </c>
      <c r="AU129" s="68">
        <f t="shared" si="16"/>
        <v>4043076.9230769225</v>
      </c>
      <c r="AV129" s="68">
        <f t="shared" si="16"/>
        <v>4043076.9230769225</v>
      </c>
      <c r="AW129" s="68">
        <f t="shared" si="16"/>
        <v>4043076.9230769225</v>
      </c>
      <c r="AX129" s="68">
        <f t="shared" si="16"/>
        <v>4043076.9230769225</v>
      </c>
      <c r="AY129" s="68">
        <f t="shared" si="16"/>
        <v>4043076.9230769225</v>
      </c>
      <c r="AZ129" s="68">
        <f t="shared" si="16"/>
        <v>4043076.9230769225</v>
      </c>
      <c r="BA129" s="68">
        <f t="shared" si="16"/>
        <v>4043076.9230769225</v>
      </c>
      <c r="BB129" s="68">
        <f t="shared" si="16"/>
        <v>4043076.9230769225</v>
      </c>
      <c r="BC129" s="68">
        <f t="shared" si="16"/>
        <v>4043076.9230769225</v>
      </c>
      <c r="BD129" s="68">
        <f t="shared" si="16"/>
        <v>4043076.9230769225</v>
      </c>
      <c r="BE129" s="68">
        <f t="shared" si="16"/>
        <v>4043076.9230769225</v>
      </c>
      <c r="BF129" s="68">
        <f t="shared" si="16"/>
        <v>4043076.9230769225</v>
      </c>
      <c r="BG129" s="68">
        <f t="shared" si="16"/>
        <v>4043076.9230769225</v>
      </c>
      <c r="BH129" s="68">
        <f t="shared" si="16"/>
        <v>4043076.9230769225</v>
      </c>
      <c r="BI129" s="68">
        <f t="shared" si="16"/>
        <v>4043076.9230769225</v>
      </c>
      <c r="BJ129" s="68">
        <f t="shared" si="16"/>
        <v>4043076.9230769225</v>
      </c>
      <c r="BK129" s="68">
        <f t="shared" si="16"/>
        <v>4043076.9230769225</v>
      </c>
      <c r="BL129" s="68">
        <f t="shared" si="16"/>
        <v>4043076.9230769225</v>
      </c>
    </row>
    <row r="130" spans="3:64">
      <c r="C130" s="42" t="s">
        <v>63</v>
      </c>
      <c r="D130" s="66"/>
      <c r="E130" s="68">
        <f t="shared" ref="E130:AJ130" si="17">IF(E113&lt;&gt;" ",E129/((1+WACC_real)^(E112)), " ")</f>
        <v>3796663.1439300245</v>
      </c>
      <c r="F130" s="68">
        <f t="shared" si="17"/>
        <v>3565267.5679261051</v>
      </c>
      <c r="G130" s="68">
        <f t="shared" si="17"/>
        <v>3347974.8792641372</v>
      </c>
      <c r="H130" s="68">
        <f t="shared" si="17"/>
        <v>3143925.547978966</v>
      </c>
      <c r="I130" s="68">
        <f t="shared" si="17"/>
        <v>2952312.4299568632</v>
      </c>
      <c r="J130" s="68">
        <f t="shared" si="17"/>
        <v>2772377.5741702495</v>
      </c>
      <c r="K130" s="68">
        <f t="shared" si="17"/>
        <v>2603409.2245021709</v>
      </c>
      <c r="L130" s="68">
        <f t="shared" si="17"/>
        <v>2444739.0043008556</v>
      </c>
      <c r="M130" s="68">
        <f t="shared" si="17"/>
        <v>2295739.2725274768</v>
      </c>
      <c r="N130" s="68">
        <f t="shared" si="17"/>
        <v>2155820.6410390297</v>
      </c>
      <c r="O130" s="68">
        <f t="shared" si="17"/>
        <v>2024429.6431855839</v>
      </c>
      <c r="P130" s="68">
        <f t="shared" si="17"/>
        <v>1901046.5444997631</v>
      </c>
      <c r="Q130" s="68">
        <f t="shared" si="17"/>
        <v>1785183.2868183248</v>
      </c>
      <c r="R130" s="68">
        <f t="shared" si="17"/>
        <v>1676381.5577035572</v>
      </c>
      <c r="S130" s="68">
        <f t="shared" si="17"/>
        <v>1574210.9775278214</v>
      </c>
      <c r="T130" s="68">
        <f t="shared" si="17"/>
        <v>1478267.3970500228</v>
      </c>
      <c r="U130" s="68">
        <f t="shared" si="17"/>
        <v>1388171.2987498387</v>
      </c>
      <c r="V130" s="68">
        <f t="shared" si="17"/>
        <v>1303566.295595983</v>
      </c>
      <c r="W130" s="68">
        <f t="shared" si="17"/>
        <v>1224117.7213101711</v>
      </c>
      <c r="X130" s="68">
        <f t="shared" si="17"/>
        <v>1149511.306550402</v>
      </c>
      <c r="Y130" s="68">
        <f t="shared" si="17"/>
        <v>1079451.9357770146</v>
      </c>
      <c r="Z130" s="68">
        <f t="shared" si="17"/>
        <v>1013662.4798841449</v>
      </c>
      <c r="AA130" s="68">
        <f t="shared" si="17"/>
        <v>951882.69997889956</v>
      </c>
      <c r="AB130" s="68">
        <f t="shared" si="17"/>
        <v>893868.21797200118</v>
      </c>
      <c r="AC130" s="68">
        <f t="shared" si="17"/>
        <v>839389.5499079373</v>
      </c>
      <c r="AD130" s="68">
        <f t="shared" si="17"/>
        <v>788231.19821082987</v>
      </c>
      <c r="AE130" s="68">
        <f t="shared" si="17"/>
        <v>740190.79925527354</v>
      </c>
      <c r="AF130" s="68">
        <f t="shared" si="17"/>
        <v>695078.32289025618</v>
      </c>
      <c r="AG130" s="68">
        <f t="shared" si="17"/>
        <v>652715.32074976573</v>
      </c>
      <c r="AH130" s="68">
        <f t="shared" si="17"/>
        <v>612934.22037668014</v>
      </c>
      <c r="AI130" s="68">
        <f t="shared" si="17"/>
        <v>575577.66236775357</v>
      </c>
      <c r="AJ130" s="68">
        <f t="shared" si="17"/>
        <v>540497.87791768741</v>
      </c>
      <c r="AK130" s="68">
        <f t="shared" ref="AK130:BL130" si="18">IF(AK113&lt;&gt;" ",AK129/((1+WACC_real)^(AK112)), " ")</f>
        <v>507556.10430007923</v>
      </c>
      <c r="AL130" s="68">
        <f t="shared" si="18"/>
        <v>476622.03597310861</v>
      </c>
      <c r="AM130" s="68">
        <f t="shared" si="18"/>
        <v>447573.30913873471</v>
      </c>
      <c r="AN130" s="68">
        <f t="shared" si="18"/>
        <v>420295.01771651144</v>
      </c>
      <c r="AO130" s="68">
        <f t="shared" si="18"/>
        <v>394679.25881739054</v>
      </c>
      <c r="AP130" s="68">
        <f t="shared" si="18"/>
        <v>370624.70591957535</v>
      </c>
      <c r="AQ130" s="68">
        <f t="shared" si="18"/>
        <v>348036.20805806364</v>
      </c>
      <c r="AR130" s="68">
        <f t="shared" si="18"/>
        <v>326824.41344242322</v>
      </c>
      <c r="AS130" s="68">
        <f t="shared" si="18"/>
        <v>306905.416013968</v>
      </c>
      <c r="AT130" s="68">
        <f t="shared" si="18"/>
        <v>288200.42354424798</v>
      </c>
      <c r="AU130" s="68">
        <f t="shared" si="18"/>
        <v>270635.44596196921</v>
      </c>
      <c r="AV130" s="68">
        <f t="shared" si="18"/>
        <v>254141.00267548268</v>
      </c>
      <c r="AW130" s="68">
        <f t="shared" si="18"/>
        <v>238651.84773311552</v>
      </c>
      <c r="AX130" s="68">
        <f t="shared" si="18"/>
        <v>224106.71173418115</v>
      </c>
      <c r="AY130" s="68">
        <f t="shared" si="18"/>
        <v>210448.05946976232</v>
      </c>
      <c r="AZ130" s="68">
        <f t="shared" si="18"/>
        <v>197621.86233458394</v>
      </c>
      <c r="BA130" s="68">
        <f t="shared" si="18"/>
        <v>185577.38460971965</v>
      </c>
      <c r="BB130" s="68">
        <f t="shared" si="18"/>
        <v>174266.98277074672</v>
      </c>
      <c r="BC130" s="68">
        <f t="shared" si="18"/>
        <v>163645.91702748428</v>
      </c>
      <c r="BD130" s="68">
        <f t="shared" si="18"/>
        <v>153672.1743498373</v>
      </c>
      <c r="BE130" s="68">
        <f t="shared" si="18"/>
        <v>144306.30227969962</v>
      </c>
      <c r="BF130" s="68">
        <f t="shared" si="18"/>
        <v>135511.25287153904</v>
      </c>
      <c r="BG130" s="68">
        <f t="shared" si="18"/>
        <v>127252.23614434936</v>
      </c>
      <c r="BH130" s="68">
        <f t="shared" si="18"/>
        <v>119496.58246527986</v>
      </c>
      <c r="BI130" s="68">
        <f t="shared" si="18"/>
        <v>112213.61332058215</v>
      </c>
      <c r="BJ130" s="68">
        <f t="shared" si="18"/>
        <v>105374.51996269228</v>
      </c>
      <c r="BK130" s="68">
        <f t="shared" si="18"/>
        <v>98952.249453419732</v>
      </c>
      <c r="BL130" s="68">
        <f t="shared" si="18"/>
        <v>92921.397652473228</v>
      </c>
    </row>
    <row r="131" spans="3:64">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row>
    <row r="132" spans="3:64">
      <c r="C132" s="2" t="s">
        <v>67</v>
      </c>
      <c r="D132" s="68">
        <v>0</v>
      </c>
      <c r="E132" s="68">
        <f>IF(E113&lt;&gt;" ",(electricity_cost*E113), " ")</f>
        <v>4380000</v>
      </c>
      <c r="F132" s="68">
        <f t="shared" ref="F132:AJ132" si="19">IF(F113&lt;&gt;" ",(electricity_cost*F113), " ")</f>
        <v>4380000</v>
      </c>
      <c r="G132" s="68">
        <f t="shared" si="19"/>
        <v>4380000</v>
      </c>
      <c r="H132" s="68">
        <f t="shared" si="19"/>
        <v>4380000</v>
      </c>
      <c r="I132" s="68">
        <f t="shared" si="19"/>
        <v>4380000</v>
      </c>
      <c r="J132" s="68">
        <f t="shared" si="19"/>
        <v>4380000</v>
      </c>
      <c r="K132" s="68">
        <f t="shared" si="19"/>
        <v>4380000</v>
      </c>
      <c r="L132" s="68">
        <f t="shared" si="19"/>
        <v>4380000</v>
      </c>
      <c r="M132" s="68">
        <f t="shared" si="19"/>
        <v>4380000</v>
      </c>
      <c r="N132" s="68">
        <f t="shared" si="19"/>
        <v>4380000</v>
      </c>
      <c r="O132" s="68">
        <f t="shared" si="19"/>
        <v>4380000</v>
      </c>
      <c r="P132" s="68">
        <f t="shared" si="19"/>
        <v>4380000</v>
      </c>
      <c r="Q132" s="68">
        <f t="shared" si="19"/>
        <v>4380000</v>
      </c>
      <c r="R132" s="68">
        <f t="shared" si="19"/>
        <v>4380000</v>
      </c>
      <c r="S132" s="68">
        <f t="shared" si="19"/>
        <v>4380000</v>
      </c>
      <c r="T132" s="68">
        <f t="shared" si="19"/>
        <v>4380000</v>
      </c>
      <c r="U132" s="68">
        <f t="shared" si="19"/>
        <v>4380000</v>
      </c>
      <c r="V132" s="68">
        <f t="shared" si="19"/>
        <v>4380000</v>
      </c>
      <c r="W132" s="68">
        <f t="shared" si="19"/>
        <v>4380000</v>
      </c>
      <c r="X132" s="68">
        <f t="shared" si="19"/>
        <v>4380000</v>
      </c>
      <c r="Y132" s="68">
        <f t="shared" si="19"/>
        <v>4380000</v>
      </c>
      <c r="Z132" s="68">
        <f t="shared" si="19"/>
        <v>4380000</v>
      </c>
      <c r="AA132" s="68">
        <f t="shared" si="19"/>
        <v>4380000</v>
      </c>
      <c r="AB132" s="68">
        <f t="shared" si="19"/>
        <v>4380000</v>
      </c>
      <c r="AC132" s="68">
        <f t="shared" si="19"/>
        <v>4380000</v>
      </c>
      <c r="AD132" s="68">
        <f t="shared" si="19"/>
        <v>4380000</v>
      </c>
      <c r="AE132" s="68">
        <f t="shared" si="19"/>
        <v>4380000</v>
      </c>
      <c r="AF132" s="68">
        <f t="shared" si="19"/>
        <v>4380000</v>
      </c>
      <c r="AG132" s="68">
        <f t="shared" si="19"/>
        <v>4380000</v>
      </c>
      <c r="AH132" s="68">
        <f t="shared" si="19"/>
        <v>4380000</v>
      </c>
      <c r="AI132" s="68">
        <f t="shared" si="19"/>
        <v>4380000</v>
      </c>
      <c r="AJ132" s="68">
        <f t="shared" si="19"/>
        <v>4380000</v>
      </c>
      <c r="AK132" s="68">
        <f t="shared" ref="AK132:BL132" si="20">IF(AK113&lt;&gt;" ",(electricity_cost*AK113), " ")</f>
        <v>4380000</v>
      </c>
      <c r="AL132" s="68">
        <f t="shared" si="20"/>
        <v>4380000</v>
      </c>
      <c r="AM132" s="68">
        <f t="shared" si="20"/>
        <v>4380000</v>
      </c>
      <c r="AN132" s="68">
        <f t="shared" si="20"/>
        <v>4380000</v>
      </c>
      <c r="AO132" s="68">
        <f t="shared" si="20"/>
        <v>4380000</v>
      </c>
      <c r="AP132" s="68">
        <f t="shared" si="20"/>
        <v>4380000</v>
      </c>
      <c r="AQ132" s="68">
        <f t="shared" si="20"/>
        <v>4380000</v>
      </c>
      <c r="AR132" s="68">
        <f t="shared" si="20"/>
        <v>4380000</v>
      </c>
      <c r="AS132" s="68">
        <f t="shared" si="20"/>
        <v>4380000</v>
      </c>
      <c r="AT132" s="68">
        <f t="shared" si="20"/>
        <v>4380000</v>
      </c>
      <c r="AU132" s="68">
        <f t="shared" si="20"/>
        <v>4380000</v>
      </c>
      <c r="AV132" s="68">
        <f t="shared" si="20"/>
        <v>4380000</v>
      </c>
      <c r="AW132" s="68">
        <f t="shared" si="20"/>
        <v>4380000</v>
      </c>
      <c r="AX132" s="68">
        <f t="shared" si="20"/>
        <v>4380000</v>
      </c>
      <c r="AY132" s="68">
        <f t="shared" si="20"/>
        <v>4380000</v>
      </c>
      <c r="AZ132" s="68">
        <f t="shared" si="20"/>
        <v>4380000</v>
      </c>
      <c r="BA132" s="68">
        <f t="shared" si="20"/>
        <v>4380000</v>
      </c>
      <c r="BB132" s="68">
        <f t="shared" si="20"/>
        <v>4380000</v>
      </c>
      <c r="BC132" s="68">
        <f t="shared" si="20"/>
        <v>4380000</v>
      </c>
      <c r="BD132" s="68">
        <f t="shared" si="20"/>
        <v>4380000</v>
      </c>
      <c r="BE132" s="68">
        <f t="shared" si="20"/>
        <v>4380000</v>
      </c>
      <c r="BF132" s="68">
        <f t="shared" si="20"/>
        <v>4380000</v>
      </c>
      <c r="BG132" s="68">
        <f t="shared" si="20"/>
        <v>4380000</v>
      </c>
      <c r="BH132" s="68">
        <f t="shared" si="20"/>
        <v>4380000</v>
      </c>
      <c r="BI132" s="68">
        <f t="shared" si="20"/>
        <v>4380000</v>
      </c>
      <c r="BJ132" s="68">
        <f t="shared" si="20"/>
        <v>4380000</v>
      </c>
      <c r="BK132" s="68">
        <f t="shared" si="20"/>
        <v>4380000</v>
      </c>
      <c r="BL132" s="68">
        <f t="shared" si="20"/>
        <v>4380000</v>
      </c>
    </row>
    <row r="133" spans="3:64">
      <c r="C133" s="42" t="s">
        <v>63</v>
      </c>
      <c r="D133" s="66"/>
      <c r="E133" s="68">
        <f>IF(E113&lt;&gt;" ", E132/((1+WACC_real)^E112), " ")</f>
        <v>4113051.739257527</v>
      </c>
      <c r="F133" s="68">
        <f t="shared" ref="F133:AJ133" si="21">IF(F113&lt;&gt;" ", F132/((1+WACC_real)^F112), " ")</f>
        <v>3862373.1985866143</v>
      </c>
      <c r="G133" s="68">
        <f t="shared" si="21"/>
        <v>3626972.7858694824</v>
      </c>
      <c r="H133" s="68">
        <f t="shared" si="21"/>
        <v>3405919.3436438804</v>
      </c>
      <c r="I133" s="68">
        <f t="shared" si="21"/>
        <v>3198338.4657866023</v>
      </c>
      <c r="J133" s="68">
        <f t="shared" si="21"/>
        <v>3003409.0386844375</v>
      </c>
      <c r="K133" s="68">
        <f t="shared" si="21"/>
        <v>2820359.9932106854</v>
      </c>
      <c r="L133" s="68">
        <f t="shared" si="21"/>
        <v>2648467.2546592602</v>
      </c>
      <c r="M133" s="68">
        <f t="shared" si="21"/>
        <v>2487050.8785714335</v>
      </c>
      <c r="N133" s="68">
        <f t="shared" si="21"/>
        <v>2335472.3611256159</v>
      </c>
      <c r="O133" s="68">
        <f t="shared" si="21"/>
        <v>2193132.1134510497</v>
      </c>
      <c r="P133" s="68">
        <f t="shared" si="21"/>
        <v>2059467.0898747435</v>
      </c>
      <c r="Q133" s="68">
        <f t="shared" si="21"/>
        <v>1933948.5607198521</v>
      </c>
      <c r="R133" s="68">
        <f t="shared" si="21"/>
        <v>1816080.0208455205</v>
      </c>
      <c r="S133" s="68">
        <f t="shared" si="21"/>
        <v>1705395.2256551401</v>
      </c>
      <c r="T133" s="68">
        <f t="shared" si="21"/>
        <v>1601456.3468041916</v>
      </c>
      <c r="U133" s="68">
        <f t="shared" si="21"/>
        <v>1503852.2403123255</v>
      </c>
      <c r="V133" s="68">
        <f t="shared" si="21"/>
        <v>1412196.8202289818</v>
      </c>
      <c r="W133" s="68">
        <f t="shared" si="21"/>
        <v>1326127.5314193522</v>
      </c>
      <c r="X133" s="68">
        <f t="shared" si="21"/>
        <v>1245303.9154296024</v>
      </c>
      <c r="Y133" s="68">
        <f t="shared" si="21"/>
        <v>1169406.2637584326</v>
      </c>
      <c r="Z133" s="68">
        <f t="shared" si="21"/>
        <v>1098134.3532078238</v>
      </c>
      <c r="AA133" s="68">
        <f t="shared" si="21"/>
        <v>1031206.2583104747</v>
      </c>
      <c r="AB133" s="68">
        <f t="shared" si="21"/>
        <v>968357.23613633472</v>
      </c>
      <c r="AC133" s="68">
        <f t="shared" si="21"/>
        <v>909338.67906693218</v>
      </c>
      <c r="AD133" s="68">
        <f t="shared" si="21"/>
        <v>853917.13139506581</v>
      </c>
      <c r="AE133" s="68">
        <f t="shared" si="21"/>
        <v>801873.36585987976</v>
      </c>
      <c r="AF133" s="68">
        <f t="shared" si="21"/>
        <v>753001.51646444434</v>
      </c>
      <c r="AG133" s="68">
        <f t="shared" si="21"/>
        <v>707108.26414557965</v>
      </c>
      <c r="AH133" s="68">
        <f t="shared" si="21"/>
        <v>664012.07207473693</v>
      </c>
      <c r="AI133" s="68">
        <f t="shared" si="21"/>
        <v>623542.46756506641</v>
      </c>
      <c r="AJ133" s="68">
        <f t="shared" si="21"/>
        <v>585539.3677441614</v>
      </c>
      <c r="AK133" s="68">
        <f t="shared" ref="AK133:BL133" si="22">IF(AK113&lt;&gt;" ", AK132/((1+WACC_real)^AK112), " ")</f>
        <v>549852.44632508594</v>
      </c>
      <c r="AL133" s="68">
        <f t="shared" si="22"/>
        <v>516340.5389708677</v>
      </c>
      <c r="AM133" s="68">
        <f t="shared" si="22"/>
        <v>484871.084900296</v>
      </c>
      <c r="AN133" s="68">
        <f t="shared" si="22"/>
        <v>455319.60252622078</v>
      </c>
      <c r="AO133" s="68">
        <f t="shared" si="22"/>
        <v>427569.19705217314</v>
      </c>
      <c r="AP133" s="68">
        <f t="shared" si="22"/>
        <v>401510.09807954001</v>
      </c>
      <c r="AQ133" s="68">
        <f t="shared" si="22"/>
        <v>377039.22539623565</v>
      </c>
      <c r="AR133" s="68">
        <f t="shared" si="22"/>
        <v>354059.78122929187</v>
      </c>
      <c r="AS133" s="68">
        <f t="shared" si="22"/>
        <v>332480.86734846537</v>
      </c>
      <c r="AT133" s="68">
        <f t="shared" si="22"/>
        <v>312217.1255062687</v>
      </c>
      <c r="AU133" s="68">
        <f t="shared" si="22"/>
        <v>293188.39979213336</v>
      </c>
      <c r="AV133" s="68">
        <f t="shared" si="22"/>
        <v>275319.41956510628</v>
      </c>
      <c r="AW133" s="68">
        <f t="shared" si="22"/>
        <v>258539.50171087519</v>
      </c>
      <c r="AX133" s="68">
        <f t="shared" si="22"/>
        <v>242782.27104536293</v>
      </c>
      <c r="AY133" s="68">
        <f t="shared" si="22"/>
        <v>227985.39775890921</v>
      </c>
      <c r="AZ133" s="68">
        <f t="shared" si="22"/>
        <v>214090.35086246597</v>
      </c>
      <c r="BA133" s="68">
        <f t="shared" si="22"/>
        <v>201042.16666052965</v>
      </c>
      <c r="BB133" s="68">
        <f t="shared" si="22"/>
        <v>188789.23133497563</v>
      </c>
      <c r="BC133" s="68">
        <f t="shared" si="22"/>
        <v>177283.07677977465</v>
      </c>
      <c r="BD133" s="68">
        <f t="shared" si="22"/>
        <v>166478.18887899042</v>
      </c>
      <c r="BE133" s="68">
        <f t="shared" si="22"/>
        <v>156331.82746967461</v>
      </c>
      <c r="BF133" s="68">
        <f t="shared" si="22"/>
        <v>146803.85727750065</v>
      </c>
      <c r="BG133" s="68">
        <f t="shared" si="22"/>
        <v>137856.58915637847</v>
      </c>
      <c r="BH133" s="68">
        <f t="shared" si="22"/>
        <v>129454.63100405321</v>
      </c>
      <c r="BI133" s="68">
        <f t="shared" si="22"/>
        <v>121564.74776396401</v>
      </c>
      <c r="BJ133" s="68">
        <f t="shared" si="22"/>
        <v>114155.72995958332</v>
      </c>
      <c r="BK133" s="68">
        <f t="shared" si="22"/>
        <v>107198.27024120472</v>
      </c>
      <c r="BL133" s="68">
        <f t="shared" si="22"/>
        <v>100664.84745684601</v>
      </c>
    </row>
    <row r="134" spans="3:64">
      <c r="E134" s="37"/>
      <c r="F134" s="37"/>
      <c r="G134" s="37"/>
      <c r="H134" s="37"/>
      <c r="I134" s="37"/>
      <c r="J134" s="37"/>
      <c r="K134" s="37"/>
      <c r="L134" s="37"/>
      <c r="M134" s="37"/>
      <c r="N134" s="37"/>
      <c r="O134" s="37"/>
      <c r="P134" s="37"/>
      <c r="Q134" s="37"/>
      <c r="R134" s="37"/>
    </row>
    <row r="135" spans="3:64">
      <c r="C135" s="27" t="s">
        <v>68</v>
      </c>
      <c r="D135" s="67">
        <f>SUM(D130:BL130,D133:BL133)</f>
        <v>126797308.4075346</v>
      </c>
      <c r="E135" s="37"/>
      <c r="F135" s="37"/>
    </row>
    <row r="136" spans="3:64">
      <c r="C136" s="27" t="s">
        <v>228</v>
      </c>
      <c r="D136" s="67">
        <f>SUM(D130:BL130)</f>
        <v>60862708.035616629</v>
      </c>
      <c r="E136" s="37"/>
      <c r="F136" s="37"/>
    </row>
    <row r="137" spans="3:64">
      <c r="D137" s="35"/>
    </row>
    <row r="139" spans="3:64">
      <c r="C139" s="2" t="s">
        <v>69</v>
      </c>
      <c r="D139" s="69">
        <f>IF(D113&lt;&gt;" ",SUM(D64)+D120+D123+D129+D132," ")</f>
        <v>0</v>
      </c>
      <c r="E139" s="69">
        <f>IF(E113&lt;&gt;" ",E49 + SUM(E64:E71)+SUM(E82:E87)+E120+E123+E129+E132," ")</f>
        <v>10295076.923076922</v>
      </c>
      <c r="F139" s="69">
        <f t="shared" ref="F139:BL139" si="23">IF(F113&lt;&gt;" ",F49 + SUM(F64:F71)+SUM(F82:F87)+F120+F123+F129+F132," ")</f>
        <v>10332516.923076922</v>
      </c>
      <c r="G139" s="69">
        <f t="shared" si="23"/>
        <v>10370705.723076923</v>
      </c>
      <c r="H139" s="69">
        <f t="shared" si="23"/>
        <v>10409658.299076922</v>
      </c>
      <c r="I139" s="69">
        <f t="shared" si="23"/>
        <v>10449389.926596923</v>
      </c>
      <c r="J139" s="69">
        <f t="shared" si="23"/>
        <v>10489916.186667323</v>
      </c>
      <c r="K139" s="69">
        <f t="shared" si="23"/>
        <v>10531252.971939132</v>
      </c>
      <c r="L139" s="69">
        <f t="shared" si="23"/>
        <v>10573416.492916375</v>
      </c>
      <c r="M139" s="69">
        <f t="shared" si="23"/>
        <v>10616423.284313165</v>
      </c>
      <c r="N139" s="69">
        <f t="shared" si="23"/>
        <v>10660290.211537888</v>
      </c>
      <c r="O139" s="69">
        <f t="shared" si="23"/>
        <v>10705034.477307107</v>
      </c>
      <c r="P139" s="69">
        <f t="shared" si="23"/>
        <v>10750673.628391711</v>
      </c>
      <c r="Q139" s="69">
        <f t="shared" si="23"/>
        <v>10797225.562498007</v>
      </c>
      <c r="R139" s="69">
        <f t="shared" si="23"/>
        <v>10844708.535286428</v>
      </c>
      <c r="S139" s="69">
        <f t="shared" si="23"/>
        <v>10893141.167530619</v>
      </c>
      <c r="T139" s="69">
        <f t="shared" si="23"/>
        <v>10942542.452419693</v>
      </c>
      <c r="U139" s="69">
        <f t="shared" si="23"/>
        <v>10992931.763006549</v>
      </c>
      <c r="V139" s="69">
        <f t="shared" si="23"/>
        <v>11044328.859805141</v>
      </c>
      <c r="W139" s="69">
        <f t="shared" si="23"/>
        <v>11096753.898539705</v>
      </c>
      <c r="X139" s="69">
        <f t="shared" si="23"/>
        <v>11150227.438048961</v>
      </c>
      <c r="Y139" s="69">
        <f t="shared" si="23"/>
        <v>11204770.448348401</v>
      </c>
      <c r="Z139" s="69">
        <f t="shared" si="23"/>
        <v>11260404.318853831</v>
      </c>
      <c r="AA139" s="69">
        <f t="shared" si="23"/>
        <v>11317150.86676937</v>
      </c>
      <c r="AB139" s="69">
        <f t="shared" si="23"/>
        <v>11375032.345643219</v>
      </c>
      <c r="AC139" s="69">
        <f t="shared" si="23"/>
        <v>11434071.454094544</v>
      </c>
      <c r="AD139" s="69">
        <f t="shared" si="23"/>
        <v>11494291.344714897</v>
      </c>
      <c r="AE139" s="69">
        <f t="shared" si="23"/>
        <v>11555715.633147657</v>
      </c>
      <c r="AF139" s="69">
        <f t="shared" si="23"/>
        <v>11618368.407349071</v>
      </c>
      <c r="AG139" s="69">
        <f t="shared" si="23"/>
        <v>11682274.237034515</v>
      </c>
      <c r="AH139" s="69">
        <f t="shared" si="23"/>
        <v>11747458.183313664</v>
      </c>
      <c r="AI139" s="69">
        <f t="shared" si="23"/>
        <v>11813945.8085184</v>
      </c>
      <c r="AJ139" s="69">
        <f t="shared" si="23"/>
        <v>11881763.186227228</v>
      </c>
      <c r="AK139" s="69">
        <f t="shared" si="23"/>
        <v>11950936.911490235</v>
      </c>
      <c r="AL139" s="69">
        <f t="shared" si="23"/>
        <v>12021494.111258503</v>
      </c>
      <c r="AM139" s="69">
        <f t="shared" si="23"/>
        <v>12093462.455022134</v>
      </c>
      <c r="AN139" s="69">
        <f t="shared" si="23"/>
        <v>12166870.165661037</v>
      </c>
      <c r="AO139" s="69">
        <f t="shared" si="23"/>
        <v>12241746.03051272</v>
      </c>
      <c r="AP139" s="69">
        <f t="shared" si="23"/>
        <v>12318119.412661437</v>
      </c>
      <c r="AQ139" s="69">
        <f t="shared" si="23"/>
        <v>12396020.262453128</v>
      </c>
      <c r="AR139" s="69">
        <f t="shared" si="23"/>
        <v>12475479.129240651</v>
      </c>
      <c r="AS139" s="69">
        <f t="shared" si="23"/>
        <v>12556527.173363924</v>
      </c>
      <c r="AT139" s="69">
        <f t="shared" si="23"/>
        <v>12639196.178369666</v>
      </c>
      <c r="AU139" s="69">
        <f t="shared" si="23"/>
        <v>12723518.563475519</v>
      </c>
      <c r="AV139" s="69">
        <f t="shared" si="23"/>
        <v>12809527.396283491</v>
      </c>
      <c r="AW139" s="69">
        <f t="shared" si="23"/>
        <v>12897256.405747624</v>
      </c>
      <c r="AX139" s="69">
        <f t="shared" si="23"/>
        <v>12986739.995401038</v>
      </c>
      <c r="AY139" s="69">
        <f t="shared" si="23"/>
        <v>13078013.256847519</v>
      </c>
      <c r="AZ139" s="69">
        <f t="shared" si="23"/>
        <v>13171111.983522931</v>
      </c>
      <c r="BA139" s="69">
        <f t="shared" si="23"/>
        <v>13266072.68473185</v>
      </c>
      <c r="BB139" s="69">
        <f t="shared" si="23"/>
        <v>13362932.59996495</v>
      </c>
      <c r="BC139" s="69">
        <f t="shared" si="23"/>
        <v>13461729.713502711</v>
      </c>
      <c r="BD139" s="69">
        <f t="shared" si="23"/>
        <v>13562502.769311225</v>
      </c>
      <c r="BE139" s="69">
        <f t="shared" si="23"/>
        <v>13665291.286235914</v>
      </c>
      <c r="BF139" s="69">
        <f t="shared" si="23"/>
        <v>13770135.573499091</v>
      </c>
      <c r="BG139" s="69">
        <f t="shared" si="23"/>
        <v>13877076.746507537</v>
      </c>
      <c r="BH139" s="69">
        <f t="shared" si="23"/>
        <v>13986156.742976146</v>
      </c>
      <c r="BI139" s="69">
        <f t="shared" si="23"/>
        <v>14097418.339374131</v>
      </c>
      <c r="BJ139" s="69">
        <f t="shared" si="23"/>
        <v>14210905.167700075</v>
      </c>
      <c r="BK139" s="69">
        <f t="shared" si="23"/>
        <v>14326661.73259254</v>
      </c>
      <c r="BL139" s="69">
        <f t="shared" si="23"/>
        <v>14444733.428782851</v>
      </c>
    </row>
    <row r="140" spans="3:64">
      <c r="C140" s="42" t="s">
        <v>63</v>
      </c>
      <c r="D140" s="127"/>
      <c r="E140" s="66">
        <f>IF(E113&lt;&gt;" ", E139/((1+WACC_real)^E112), " ")</f>
        <v>9667621.927911317</v>
      </c>
      <c r="F140" s="66">
        <f t="shared" ref="F140:AI140" si="24">IF(F113&lt;&gt;" ", F139/((1+WACC_real)^F112), " ")</f>
        <v>9111423.8442088887</v>
      </c>
      <c r="G140" s="66">
        <f t="shared" si="24"/>
        <v>8587732.2894659564</v>
      </c>
      <c r="H140" s="66">
        <f t="shared" si="24"/>
        <v>8094624.7857418135</v>
      </c>
      <c r="I140" s="66">
        <f t="shared" si="24"/>
        <v>7630293.5493694013</v>
      </c>
      <c r="J140" s="66">
        <f t="shared" si="24"/>
        <v>7193038.6050408278</v>
      </c>
      <c r="K140" s="66">
        <f t="shared" si="24"/>
        <v>6781261.3151685521</v>
      </c>
      <c r="L140" s="66">
        <f t="shared" si="24"/>
        <v>6393458.2993979855</v>
      </c>
      <c r="M140" s="66">
        <f t="shared" si="24"/>
        <v>6028215.7206706116</v>
      </c>
      <c r="N140" s="66">
        <f t="shared" si="24"/>
        <v>5684203.915667736</v>
      </c>
      <c r="O140" s="66">
        <f t="shared" si="24"/>
        <v>5360172.3488088781</v>
      </c>
      <c r="P140" s="66">
        <f t="shared" si="24"/>
        <v>5054944.87024133</v>
      </c>
      <c r="Q140" s="66">
        <f t="shared" si="24"/>
        <v>4767415.2594430633</v>
      </c>
      <c r="R140" s="66">
        <f t="shared" si="24"/>
        <v>4496543.0371750165</v>
      </c>
      <c r="S140" s="66">
        <f t="shared" si="24"/>
        <v>4241349.5295648808</v>
      </c>
      <c r="T140" s="66">
        <f t="shared" si="24"/>
        <v>4000914.1690871739</v>
      </c>
      <c r="U140" s="66">
        <f t="shared" si="24"/>
        <v>3774371.018127379</v>
      </c>
      <c r="V140" s="66">
        <f t="shared" si="24"/>
        <v>3560905.5016849302</v>
      </c>
      <c r="W140" s="66">
        <f t="shared" si="24"/>
        <v>3359751.3365841396</v>
      </c>
      <c r="X140" s="66">
        <f t="shared" si="24"/>
        <v>3170187.6453271587</v>
      </c>
      <c r="Y140" s="66">
        <f t="shared" si="24"/>
        <v>2991536.2434415529</v>
      </c>
      <c r="Z140" s="66">
        <f t="shared" si="24"/>
        <v>2823159.0898500313</v>
      </c>
      <c r="AA140" s="66">
        <f t="shared" si="24"/>
        <v>2664455.8904238325</v>
      </c>
      <c r="AB140" s="66">
        <f t="shared" si="24"/>
        <v>2514861.8454768211</v>
      </c>
      <c r="AC140" s="66">
        <f t="shared" si="24"/>
        <v>2373845.5325167235</v>
      </c>
      <c r="AD140" s="66">
        <f t="shared" si="24"/>
        <v>2240906.9160954519</v>
      </c>
      <c r="AE140" s="66">
        <f t="shared" si="24"/>
        <v>2115575.4770940053</v>
      </c>
      <c r="AF140" s="66">
        <f t="shared" si="24"/>
        <v>1997408.4542411966</v>
      </c>
      <c r="AG140" s="66">
        <f t="shared" si="24"/>
        <v>1885989.1911009364</v>
      </c>
      <c r="AH140" s="66">
        <f t="shared" si="24"/>
        <v>1780925.5821720161</v>
      </c>
      <c r="AI140" s="66">
        <f t="shared" si="24"/>
        <v>1681848.6121286615</v>
      </c>
      <c r="AJ140" s="66">
        <f t="shared" ref="AJ140:BB140" si="25">IF(AJ113&lt;&gt;" ", AJ139/((1+WACC_real)^AJ112), " ")</f>
        <v>1588410.9825911745</v>
      </c>
      <c r="AK140" s="66">
        <f t="shared" si="25"/>
        <v>1500285.8211551763</v>
      </c>
      <c r="AL140" s="66">
        <f t="shared" si="25"/>
        <v>1417165.4677265589</v>
      </c>
      <c r="AM140" s="66">
        <f t="shared" si="25"/>
        <v>1338760.3335085798</v>
      </c>
      <c r="AN140" s="66">
        <f t="shared" si="25"/>
        <v>1264797.8282687026</v>
      </c>
      <c r="AO140" s="66">
        <f t="shared" si="25"/>
        <v>1195021.3517769296</v>
      </c>
      <c r="AP140" s="66">
        <f t="shared" si="25"/>
        <v>1129189.3455555204</v>
      </c>
      <c r="AQ140" s="66">
        <f t="shared" si="25"/>
        <v>1067074.4013130979</v>
      </c>
      <c r="AR140" s="66">
        <f t="shared" si="25"/>
        <v>1008462.4226551465</v>
      </c>
      <c r="AS140" s="66">
        <f t="shared" si="25"/>
        <v>953151.83686863282</v>
      </c>
      <c r="AT140" s="66">
        <f t="shared" si="25"/>
        <v>900952.85377177934</v>
      </c>
      <c r="AU140" s="66">
        <f t="shared" si="25"/>
        <v>851686.7688015732</v>
      </c>
      <c r="AV140" s="66">
        <f t="shared" si="25"/>
        <v>805185.30768221407</v>
      </c>
      <c r="AW140" s="66">
        <f t="shared" si="25"/>
        <v>761290.01017794153</v>
      </c>
      <c r="AX140" s="66">
        <f t="shared" si="25"/>
        <v>719851.65058427176</v>
      </c>
      <c r="AY140" s="66">
        <f t="shared" si="25"/>
        <v>680729.69275312091</v>
      </c>
      <c r="AZ140" s="66">
        <f t="shared" si="25"/>
        <v>643791.77758019511</v>
      </c>
      <c r="BA140" s="66">
        <f t="shared" si="25"/>
        <v>608913.24100789055</v>
      </c>
      <c r="BB140" s="66">
        <f t="shared" si="25"/>
        <v>575976.66071426263</v>
      </c>
      <c r="BC140" s="66">
        <f t="shared" ref="BC140:BL140" si="26">IF(BC113&lt;&gt;" ", BC139/((1+WACC_real)^BC112), " ")</f>
        <v>544871.42976882996</v>
      </c>
      <c r="BD140" s="66">
        <f t="shared" si="26"/>
        <v>515493.35563954903</v>
      </c>
      <c r="BE140" s="66">
        <f t="shared" si="26"/>
        <v>487744.28303257551</v>
      </c>
      <c r="BF140" s="66">
        <f t="shared" si="26"/>
        <v>461531.73913785274</v>
      </c>
      <c r="BG140" s="66">
        <f t="shared" si="26"/>
        <v>436768.59993945726</v>
      </c>
      <c r="BH140" s="66">
        <f t="shared" si="26"/>
        <v>413372.77633032593</v>
      </c>
      <c r="BI140" s="66">
        <f t="shared" si="26"/>
        <v>391266.91884682572</v>
      </c>
      <c r="BJ140" s="66">
        <f t="shared" si="26"/>
        <v>370378.13990986685</v>
      </c>
      <c r="BK140" s="66">
        <f t="shared" si="26"/>
        <v>350637.75252620579</v>
      </c>
      <c r="BL140" s="66">
        <f t="shared" si="26"/>
        <v>331981.02446649084</v>
      </c>
    </row>
    <row r="141" spans="3:64">
      <c r="C141" s="115" t="s">
        <v>70</v>
      </c>
      <c r="D141" s="127"/>
      <c r="E141" s="66">
        <f>IF(E113&lt;&gt;" ",E49+ SUM(E64:E71)+SUM(E82:E87)+E120+E123+E129," ")</f>
        <v>5915076.9230769221</v>
      </c>
      <c r="F141" s="66">
        <f t="shared" ref="F141:BL141" si="27">IF(F113&lt;&gt;" ",F49+ SUM(F64:F71)+SUM(F82:F87)+F120+F123+F129," ")</f>
        <v>5952516.9230769221</v>
      </c>
      <c r="G141" s="66">
        <f t="shared" si="27"/>
        <v>5990705.7230769228</v>
      </c>
      <c r="H141" s="66">
        <f t="shared" si="27"/>
        <v>6029658.2990769222</v>
      </c>
      <c r="I141" s="66">
        <f t="shared" si="27"/>
        <v>6069389.9265969228</v>
      </c>
      <c r="J141" s="66">
        <f t="shared" si="27"/>
        <v>6109916.1866673231</v>
      </c>
      <c r="K141" s="66">
        <f t="shared" si="27"/>
        <v>6151252.9719391307</v>
      </c>
      <c r="L141" s="66">
        <f t="shared" si="27"/>
        <v>6193416.4929163745</v>
      </c>
      <c r="M141" s="66">
        <f t="shared" si="27"/>
        <v>6236423.2843131637</v>
      </c>
      <c r="N141" s="66">
        <f t="shared" si="27"/>
        <v>6280290.2115378883</v>
      </c>
      <c r="O141" s="66">
        <f t="shared" si="27"/>
        <v>6325034.4773071073</v>
      </c>
      <c r="P141" s="66">
        <f t="shared" si="27"/>
        <v>6370673.628391711</v>
      </c>
      <c r="Q141" s="66">
        <f t="shared" si="27"/>
        <v>6417225.562498007</v>
      </c>
      <c r="R141" s="66">
        <f t="shared" si="27"/>
        <v>6464708.5352864284</v>
      </c>
      <c r="S141" s="66">
        <f t="shared" si="27"/>
        <v>6513141.1675306186</v>
      </c>
      <c r="T141" s="66">
        <f t="shared" si="27"/>
        <v>6562542.4524196927</v>
      </c>
      <c r="U141" s="66">
        <f t="shared" si="27"/>
        <v>6612931.7630065484</v>
      </c>
      <c r="V141" s="66">
        <f t="shared" si="27"/>
        <v>6664328.8598051406</v>
      </c>
      <c r="W141" s="66">
        <f t="shared" si="27"/>
        <v>6716753.8985397052</v>
      </c>
      <c r="X141" s="66">
        <f t="shared" si="27"/>
        <v>6770227.4380489606</v>
      </c>
      <c r="Y141" s="66">
        <f t="shared" si="27"/>
        <v>6824770.4483484011</v>
      </c>
      <c r="Z141" s="66">
        <f t="shared" si="27"/>
        <v>6880404.3188538309</v>
      </c>
      <c r="AA141" s="66">
        <f t="shared" si="27"/>
        <v>6937150.8667693697</v>
      </c>
      <c r="AB141" s="66">
        <f t="shared" si="27"/>
        <v>6995032.3456432177</v>
      </c>
      <c r="AC141" s="66">
        <f t="shared" si="27"/>
        <v>7054071.4540945441</v>
      </c>
      <c r="AD141" s="66">
        <f t="shared" si="27"/>
        <v>7114291.3447148968</v>
      </c>
      <c r="AE141" s="66">
        <f t="shared" si="27"/>
        <v>7175715.633147656</v>
      </c>
      <c r="AF141" s="66">
        <f t="shared" si="27"/>
        <v>7238368.4073490705</v>
      </c>
      <c r="AG141" s="66">
        <f t="shared" si="27"/>
        <v>7302274.2370345136</v>
      </c>
      <c r="AH141" s="66">
        <f t="shared" si="27"/>
        <v>7367458.183313665</v>
      </c>
      <c r="AI141" s="66">
        <f t="shared" si="27"/>
        <v>7433945.8085184004</v>
      </c>
      <c r="AJ141" s="66">
        <f t="shared" si="27"/>
        <v>7501763.1862272285</v>
      </c>
      <c r="AK141" s="66">
        <f t="shared" si="27"/>
        <v>7570936.9114902355</v>
      </c>
      <c r="AL141" s="66">
        <f t="shared" si="27"/>
        <v>7641494.111258503</v>
      </c>
      <c r="AM141" s="66">
        <f t="shared" si="27"/>
        <v>7713462.4550221339</v>
      </c>
      <c r="AN141" s="66">
        <f t="shared" si="27"/>
        <v>7786870.1656610379</v>
      </c>
      <c r="AO141" s="66">
        <f t="shared" si="27"/>
        <v>7861746.0305127203</v>
      </c>
      <c r="AP141" s="66">
        <f t="shared" si="27"/>
        <v>7938119.4126614369</v>
      </c>
      <c r="AQ141" s="66">
        <f t="shared" si="27"/>
        <v>8016020.2624531277</v>
      </c>
      <c r="AR141" s="66">
        <f t="shared" si="27"/>
        <v>8095479.1292406498</v>
      </c>
      <c r="AS141" s="66">
        <f t="shared" si="27"/>
        <v>8176527.173363925</v>
      </c>
      <c r="AT141" s="66">
        <f t="shared" si="27"/>
        <v>8259196.1783696655</v>
      </c>
      <c r="AU141" s="66">
        <f t="shared" si="27"/>
        <v>8343518.5634755194</v>
      </c>
      <c r="AV141" s="66">
        <f t="shared" si="27"/>
        <v>8429527.3962834906</v>
      </c>
      <c r="AW141" s="66">
        <f t="shared" si="27"/>
        <v>8517256.4057476241</v>
      </c>
      <c r="AX141" s="66">
        <f t="shared" si="27"/>
        <v>8606739.9954010379</v>
      </c>
      <c r="AY141" s="66">
        <f t="shared" si="27"/>
        <v>8698013.2568475194</v>
      </c>
      <c r="AZ141" s="66">
        <f t="shared" si="27"/>
        <v>8791111.9835229311</v>
      </c>
      <c r="BA141" s="66">
        <f t="shared" si="27"/>
        <v>8886072.6847318504</v>
      </c>
      <c r="BB141" s="66">
        <f t="shared" si="27"/>
        <v>8982932.5999649502</v>
      </c>
      <c r="BC141" s="66">
        <f t="shared" si="27"/>
        <v>9081729.7135027107</v>
      </c>
      <c r="BD141" s="66">
        <f t="shared" si="27"/>
        <v>9182502.769311225</v>
      </c>
      <c r="BE141" s="66">
        <f t="shared" si="27"/>
        <v>9285291.2862359136</v>
      </c>
      <c r="BF141" s="66">
        <f t="shared" si="27"/>
        <v>9390135.573499091</v>
      </c>
      <c r="BG141" s="66">
        <f t="shared" si="27"/>
        <v>9497076.7465075366</v>
      </c>
      <c r="BH141" s="66">
        <f t="shared" si="27"/>
        <v>9606156.7429761458</v>
      </c>
      <c r="BI141" s="66">
        <f t="shared" si="27"/>
        <v>9717418.3393741306</v>
      </c>
      <c r="BJ141" s="66">
        <f t="shared" si="27"/>
        <v>9830905.1677000746</v>
      </c>
      <c r="BK141" s="66">
        <f t="shared" si="27"/>
        <v>9946661.7325925399</v>
      </c>
      <c r="BL141" s="66">
        <f t="shared" si="27"/>
        <v>10064733.428782851</v>
      </c>
    </row>
    <row r="142" spans="3:64">
      <c r="C142" s="42" t="s">
        <v>63</v>
      </c>
      <c r="D142" s="127"/>
      <c r="E142" s="66">
        <f>IF(E113&lt;&gt;" ", E141/((1+WACC_real)^E112), " ")</f>
        <v>5554570.1886537895</v>
      </c>
      <c r="F142" s="66">
        <f t="shared" ref="F142:AI142" si="28">IF(F113&lt;&gt;" ", F141/((1+WACC_real)^F112), " ")</f>
        <v>5249050.6456222748</v>
      </c>
      <c r="G142" s="66">
        <f t="shared" si="28"/>
        <v>4960759.5035964744</v>
      </c>
      <c r="H142" s="66">
        <f t="shared" si="28"/>
        <v>4688705.442097933</v>
      </c>
      <c r="I142" s="66">
        <f t="shared" si="28"/>
        <v>4431955.083582799</v>
      </c>
      <c r="J142" s="66">
        <f t="shared" si="28"/>
        <v>4189629.5663563902</v>
      </c>
      <c r="K142" s="66">
        <f t="shared" si="28"/>
        <v>3960901.3219578667</v>
      </c>
      <c r="L142" s="66">
        <f t="shared" si="28"/>
        <v>3744991.0447387248</v>
      </c>
      <c r="M142" s="66">
        <f t="shared" si="28"/>
        <v>3541164.8420991777</v>
      </c>
      <c r="N142" s="66">
        <f t="shared" si="28"/>
        <v>3348731.5545421196</v>
      </c>
      <c r="O142" s="66">
        <f t="shared" si="28"/>
        <v>3167040.2353578289</v>
      </c>
      <c r="P142" s="66">
        <f t="shared" si="28"/>
        <v>2995477.780366587</v>
      </c>
      <c r="Q142" s="66">
        <f t="shared" si="28"/>
        <v>2833466.698723211</v>
      </c>
      <c r="R142" s="66">
        <f t="shared" si="28"/>
        <v>2680463.0163294957</v>
      </c>
      <c r="S142" s="66">
        <f t="shared" si="28"/>
        <v>2535954.3039097404</v>
      </c>
      <c r="T142" s="66">
        <f t="shared" si="28"/>
        <v>2399457.8222829821</v>
      </c>
      <c r="U142" s="66">
        <f t="shared" si="28"/>
        <v>2270518.7778150532</v>
      </c>
      <c r="V142" s="66">
        <f t="shared" si="28"/>
        <v>2148708.6814559489</v>
      </c>
      <c r="W142" s="66">
        <f t="shared" si="28"/>
        <v>2033623.8051647875</v>
      </c>
      <c r="X142" s="66">
        <f t="shared" si="28"/>
        <v>1924883.7298975561</v>
      </c>
      <c r="Y142" s="66">
        <f t="shared" si="28"/>
        <v>1822129.9796831203</v>
      </c>
      <c r="Z142" s="66">
        <f t="shared" si="28"/>
        <v>1725024.7366422075</v>
      </c>
      <c r="AA142" s="66">
        <f t="shared" si="28"/>
        <v>1633249.632113358</v>
      </c>
      <c r="AB142" s="66">
        <f t="shared" si="28"/>
        <v>1546504.6093404859</v>
      </c>
      <c r="AC142" s="66">
        <f t="shared" si="28"/>
        <v>1464506.8534497914</v>
      </c>
      <c r="AD142" s="66">
        <f t="shared" si="28"/>
        <v>1386989.784700386</v>
      </c>
      <c r="AE142" s="66">
        <f t="shared" si="28"/>
        <v>1313702.1112341254</v>
      </c>
      <c r="AF142" s="66">
        <f t="shared" si="28"/>
        <v>1244406.9377767523</v>
      </c>
      <c r="AG142" s="66">
        <f t="shared" si="28"/>
        <v>1178880.9269553565</v>
      </c>
      <c r="AH142" s="66">
        <f t="shared" si="28"/>
        <v>1116913.5100972794</v>
      </c>
      <c r="AI142" s="66">
        <f t="shared" si="28"/>
        <v>1058306.1445635951</v>
      </c>
      <c r="AJ142" s="66">
        <f t="shared" ref="AJ142:BB142" si="29">IF(AJ113&lt;&gt;" ", AJ141/((1+WACC_real)^AJ112), " ")</f>
        <v>1002871.6148470131</v>
      </c>
      <c r="AK142" s="66">
        <f t="shared" si="29"/>
        <v>950433.37483009044</v>
      </c>
      <c r="AL142" s="66">
        <f t="shared" si="29"/>
        <v>900824.92875569116</v>
      </c>
      <c r="AM142" s="66">
        <f t="shared" si="29"/>
        <v>853889.2486082837</v>
      </c>
      <c r="AN142" s="66">
        <f t="shared" si="29"/>
        <v>809478.22574248188</v>
      </c>
      <c r="AO142" s="66">
        <f t="shared" si="29"/>
        <v>767452.15472475649</v>
      </c>
      <c r="AP142" s="66">
        <f t="shared" si="29"/>
        <v>727679.24747598043</v>
      </c>
      <c r="AQ142" s="66">
        <f t="shared" si="29"/>
        <v>690035.17591686232</v>
      </c>
      <c r="AR142" s="66">
        <f t="shared" si="29"/>
        <v>654402.64142585453</v>
      </c>
      <c r="AS142" s="66">
        <f t="shared" si="29"/>
        <v>620670.96952016756</v>
      </c>
      <c r="AT142" s="66">
        <f t="shared" si="29"/>
        <v>588735.72826551064</v>
      </c>
      <c r="AU142" s="66">
        <f t="shared" si="29"/>
        <v>558498.36900943983</v>
      </c>
      <c r="AV142" s="66">
        <f t="shared" si="29"/>
        <v>529865.8881171078</v>
      </c>
      <c r="AW142" s="66">
        <f t="shared" si="29"/>
        <v>502750.50846706633</v>
      </c>
      <c r="AX142" s="66">
        <f t="shared" si="29"/>
        <v>477069.37953890878</v>
      </c>
      <c r="AY142" s="66">
        <f t="shared" si="29"/>
        <v>452744.2949942117</v>
      </c>
      <c r="AZ142" s="66">
        <f t="shared" si="29"/>
        <v>429701.42671772913</v>
      </c>
      <c r="BA142" s="66">
        <f t="shared" si="29"/>
        <v>407871.07434736087</v>
      </c>
      <c r="BB142" s="66">
        <f t="shared" si="29"/>
        <v>387187.429379287</v>
      </c>
      <c r="BC142" s="66">
        <f t="shared" ref="BC142:BL142" si="30">IF(BC113&lt;&gt;" ", BC141/((1+WACC_real)^BC112), " ")</f>
        <v>367588.35298905527</v>
      </c>
      <c r="BD142" s="66">
        <f t="shared" si="30"/>
        <v>349015.16676055861</v>
      </c>
      <c r="BE142" s="66">
        <f t="shared" si="30"/>
        <v>331412.45556290087</v>
      </c>
      <c r="BF142" s="66">
        <f t="shared" si="30"/>
        <v>314727.88186035212</v>
      </c>
      <c r="BG142" s="66">
        <f t="shared" si="30"/>
        <v>298912.01078307879</v>
      </c>
      <c r="BH142" s="66">
        <f t="shared" si="30"/>
        <v>283918.1453262727</v>
      </c>
      <c r="BI142" s="66">
        <f t="shared" si="30"/>
        <v>269702.17108286172</v>
      </c>
      <c r="BJ142" s="66">
        <f t="shared" si="30"/>
        <v>256222.40995028353</v>
      </c>
      <c r="BK142" s="66">
        <f t="shared" si="30"/>
        <v>243439.48228500108</v>
      </c>
      <c r="BL142" s="66">
        <f t="shared" si="30"/>
        <v>231316.17700964483</v>
      </c>
    </row>
    <row r="143" spans="3:64">
      <c r="C143" s="27"/>
    </row>
    <row r="144" spans="3:64">
      <c r="C144" s="27" t="s">
        <v>71</v>
      </c>
      <c r="D144" s="67">
        <f>SUM(D140:BL140)</f>
        <v>165343685.577319</v>
      </c>
      <c r="E144" s="41"/>
      <c r="F144" s="85"/>
      <c r="G144" s="85"/>
      <c r="H144" s="85"/>
      <c r="I144" s="85"/>
    </row>
    <row r="145" spans="3:12" ht="28.5" customHeight="1">
      <c r="C145" s="98" t="s">
        <v>72</v>
      </c>
      <c r="D145" s="67">
        <f>SUM(D142:BL142)</f>
        <v>99409085.205401018</v>
      </c>
      <c r="F145" s="85"/>
      <c r="H145" s="116"/>
      <c r="I145" s="85"/>
    </row>
    <row r="146" spans="3:12">
      <c r="C146" s="27"/>
      <c r="D146" s="87"/>
      <c r="F146" s="85"/>
      <c r="H146" s="116"/>
    </row>
    <row r="147" spans="3:12" ht="15.5" customHeight="1">
      <c r="C147" s="52"/>
      <c r="E147" s="41"/>
      <c r="K147" s="116"/>
    </row>
    <row r="148" spans="3:12" ht="17.5">
      <c r="C148" s="48" t="s">
        <v>73</v>
      </c>
      <c r="D148" s="15"/>
      <c r="E148" s="15"/>
      <c r="F148" s="15"/>
      <c r="G148" s="16"/>
    </row>
    <row r="149" spans="3:12" ht="17.5">
      <c r="C149" s="70"/>
      <c r="D149" s="1" t="s">
        <v>74</v>
      </c>
      <c r="G149" s="88">
        <f>D116</f>
        <v>2197820012.3972669</v>
      </c>
    </row>
    <row r="150" spans="3:12" ht="17.5">
      <c r="C150" s="70"/>
      <c r="D150" s="1" t="s">
        <v>75</v>
      </c>
      <c r="G150" s="88">
        <f ca="1">SUM(D114:OFFSET(D114,0,analysis_period))</f>
        <v>1609945830.8045433</v>
      </c>
    </row>
    <row r="151" spans="3:12">
      <c r="C151" s="22"/>
      <c r="D151" s="167" t="s">
        <v>272</v>
      </c>
      <c r="E151" s="167"/>
      <c r="F151" s="167"/>
      <c r="G151" s="89">
        <f>D144</f>
        <v>165343685.577319</v>
      </c>
      <c r="L151" s="35"/>
    </row>
    <row r="152" spans="3:12" ht="17.5">
      <c r="C152" s="70"/>
      <c r="D152" s="167" t="s">
        <v>273</v>
      </c>
      <c r="E152" s="167"/>
      <c r="F152" s="167"/>
      <c r="G152" s="90">
        <f ca="1">SUM(D140:OFFSET(D140,0,analysis_period))</f>
        <v>116958428.96868706</v>
      </c>
      <c r="H152" s="135"/>
      <c r="J152" s="72"/>
      <c r="L152" s="36"/>
    </row>
    <row r="153" spans="3:12" ht="17.5">
      <c r="C153" s="70"/>
      <c r="D153" s="167" t="s">
        <v>274</v>
      </c>
      <c r="E153" s="167"/>
      <c r="F153" s="167"/>
      <c r="G153" s="90">
        <f>D145</f>
        <v>99409085.205401018</v>
      </c>
      <c r="H153" s="136"/>
      <c r="J153" s="72"/>
      <c r="L153" s="36"/>
    </row>
    <row r="154" spans="3:12" ht="17.5">
      <c r="C154" s="70"/>
      <c r="D154" s="167" t="s">
        <v>275</v>
      </c>
      <c r="E154" s="167"/>
      <c r="F154" s="167"/>
      <c r="G154" s="90">
        <f ca="1">SUM(D142:OFFSET(D142,0,analysis_period))</f>
        <v>68660054.044550732</v>
      </c>
      <c r="H154" s="36"/>
      <c r="J154" s="102"/>
      <c r="L154" s="36"/>
    </row>
    <row r="155" spans="3:12" ht="17.5">
      <c r="C155" s="70"/>
      <c r="D155" s="1" t="s">
        <v>255</v>
      </c>
      <c r="G155" s="67">
        <f ca="1">(((1+WACC_real)^analysis_period)*((1-G150/G149)*(G171*(1 -(tax_rate* PVD)*(1-ITC/2) - ITC))+G152-(G150/G149)*G151))</f>
        <v>80288109.455196038</v>
      </c>
      <c r="H155" s="133"/>
      <c r="L155" s="35"/>
    </row>
    <row r="156" spans="3:12" ht="17.5">
      <c r="C156" s="71"/>
      <c r="D156" s="18" t="s">
        <v>256</v>
      </c>
      <c r="E156" s="18"/>
      <c r="F156" s="18"/>
      <c r="G156" s="67">
        <f ca="1">(((1+WACC_real)^analysis_period)*((1-G150/G149)*(G171*(1 -(tax_rate* PVD)*(1-ITC/2) - ITC))+G154-(G150/G149)*G153))</f>
        <v>80288109.455195889</v>
      </c>
      <c r="H156" s="133"/>
      <c r="J156" s="134"/>
      <c r="L156" s="35"/>
    </row>
    <row r="157" spans="3:12" ht="17.5">
      <c r="C157" s="9"/>
      <c r="H157" s="35"/>
    </row>
    <row r="158" spans="3:12" ht="17.5">
      <c r="C158" s="48" t="s">
        <v>76</v>
      </c>
      <c r="D158" s="15"/>
      <c r="E158" s="15"/>
      <c r="F158" s="15"/>
      <c r="G158" s="16"/>
      <c r="J158" s="72"/>
    </row>
    <row r="159" spans="3:12">
      <c r="C159" s="22"/>
      <c r="D159" s="1" t="s">
        <v>77</v>
      </c>
      <c r="G159" s="61">
        <f>IF(J19="Battery", 7,20)</f>
        <v>20</v>
      </c>
      <c r="H159" s="36"/>
      <c r="J159" s="36"/>
    </row>
    <row r="160" spans="3:12">
      <c r="C160" s="22"/>
      <c r="D160" s="1" t="s">
        <v>78</v>
      </c>
      <c r="G160" s="93">
        <f>IF(AND(J20&gt;=1,J38="Yes"),0.3,IF(AND(J20&gt;=1,J38="No"),0.06,0.3))</f>
        <v>0.06</v>
      </c>
      <c r="J160" s="36"/>
    </row>
    <row r="161" spans="3:12">
      <c r="C161" s="22"/>
      <c r="D161" s="1" t="s">
        <v>79</v>
      </c>
      <c r="G161" s="93">
        <f>IF(AND(J20&gt;=1,J38="Yes",J39="Yes"),0.1,IF(AND(J20&gt;=1,J38="No", J39="Yes"),0.02,IF(AND(J20&lt;1,J40="Yes"),0.1,0)))</f>
        <v>0</v>
      </c>
    </row>
    <row r="162" spans="3:12">
      <c r="C162" s="22"/>
      <c r="D162" s="1" t="s">
        <v>80</v>
      </c>
      <c r="G162" s="93">
        <f>IF(AND(J20&gt;=1,J38="Yes",J40="Yes"),0.1,IF(AND(J20&gt;=1,J38="No",J40="Yes"),0.02,IF(AND(J20&lt;1,J40="Yes"),0.1,0)))</f>
        <v>0</v>
      </c>
    </row>
    <row r="163" spans="3:12">
      <c r="C163" s="22"/>
      <c r="D163" s="1" t="s">
        <v>81</v>
      </c>
      <c r="G163" s="94">
        <f>SUM(G160:G162)</f>
        <v>0.06</v>
      </c>
    </row>
    <row r="164" spans="3:12" ht="13.5" customHeight="1">
      <c r="C164" s="22"/>
      <c r="D164" s="1" t="s">
        <v>82</v>
      </c>
      <c r="G164" s="62">
        <f>HLOOKUP(G159,'Assumptions &amp; Parameters'!E33:J55,23,FALSE)</f>
        <v>0.45791341555036469</v>
      </c>
    </row>
    <row r="165" spans="3:12" ht="14.5" customHeight="1">
      <c r="C165" s="22"/>
      <c r="D165" s="1" t="s">
        <v>83</v>
      </c>
      <c r="G165" s="92">
        <f>electricity_cost/I98</f>
        <v>5.7692307692307689E-2</v>
      </c>
      <c r="H165" s="116"/>
    </row>
    <row r="166" spans="3:12" ht="13.5" customHeight="1">
      <c r="C166" s="22"/>
      <c r="D166" s="1" t="s">
        <v>84</v>
      </c>
      <c r="G166" s="92">
        <f>G165-electricity_cost</f>
        <v>2.769230769230769E-2</v>
      </c>
      <c r="J166" s="36"/>
      <c r="K166" s="36"/>
      <c r="L166" s="36"/>
    </row>
    <row r="167" spans="3:12" ht="17.5">
      <c r="C167" s="22"/>
      <c r="D167" s="1" t="s">
        <v>85</v>
      </c>
      <c r="G167" s="91">
        <f>WACC_real / (1 -(1 / (1 +WACC_real)^analysis_period))</f>
        <v>9.0686280995578017E-2</v>
      </c>
      <c r="J167" s="156"/>
      <c r="K167" s="36"/>
      <c r="L167" s="36"/>
    </row>
    <row r="168" spans="3:12">
      <c r="C168" s="17"/>
      <c r="D168" s="18" t="s">
        <v>86</v>
      </c>
      <c r="E168" s="18"/>
      <c r="F168" s="18"/>
      <c r="G168" s="91">
        <f>((CRF_real* ((1 -(tax_rate* PVD)*(1-ITC/2) - ITC)) ) + property_tax + insurance )/ (1 - tax_rate)</f>
        <v>0.11748717598546535</v>
      </c>
    </row>
    <row r="170" spans="3:12" ht="17.5">
      <c r="C170" s="48" t="s">
        <v>87</v>
      </c>
      <c r="D170" s="15"/>
      <c r="E170" s="15"/>
      <c r="F170" s="15"/>
      <c r="G170" s="16"/>
    </row>
    <row r="171" spans="3:12">
      <c r="C171" s="22"/>
      <c r="D171" s="1" t="s">
        <v>88</v>
      </c>
      <c r="G171" s="66">
        <f>J32*J20*1000</f>
        <v>122166000.00000001</v>
      </c>
      <c r="H171" s="35"/>
      <c r="J171" s="35"/>
    </row>
    <row r="172" spans="3:12">
      <c r="C172" s="17"/>
      <c r="D172" s="18" t="s">
        <v>89</v>
      </c>
      <c r="E172" s="18"/>
      <c r="F172" s="18"/>
      <c r="G172" s="66">
        <f>G171*G168</f>
        <v>14352938.341440361</v>
      </c>
      <c r="H172" s="35"/>
      <c r="I172" s="116"/>
    </row>
    <row r="175" spans="3:12" ht="17.5">
      <c r="C175" s="143" t="s">
        <v>90</v>
      </c>
      <c r="D175" s="144" t="s">
        <v>257</v>
      </c>
      <c r="E175" s="144"/>
      <c r="F175" s="144"/>
      <c r="G175" s="66">
        <f ca="1">G155/(1+WACC_real)^analysis_period</f>
        <v>22827191.111186326</v>
      </c>
    </row>
    <row r="176" spans="3:12">
      <c r="G176" s="37"/>
    </row>
    <row r="177" spans="3:8">
      <c r="H177" s="37"/>
    </row>
    <row r="178" spans="3:8" ht="17.5">
      <c r="C178" s="48" t="s">
        <v>91</v>
      </c>
      <c r="D178" s="15"/>
      <c r="E178" s="15"/>
      <c r="F178" s="15"/>
      <c r="G178" s="16"/>
      <c r="H178" s="37"/>
    </row>
    <row r="179" spans="3:8">
      <c r="C179" s="22"/>
      <c r="D179" s="1" t="s">
        <v>65</v>
      </c>
      <c r="G179" s="66">
        <f ca="1">SUM(D124:OFFSET(D124,0,analysis_period)) + SUM(D121:OFFSET(D121,0,analysis_period))</f>
        <v>24076938.729963388</v>
      </c>
    </row>
    <row r="180" spans="3:8">
      <c r="C180" s="17"/>
      <c r="D180" s="18" t="s">
        <v>92</v>
      </c>
      <c r="E180" s="18"/>
      <c r="F180" s="18"/>
      <c r="G180" s="66">
        <f ca="1">G179*CRF_real</f>
        <v>2183448.0311787752</v>
      </c>
    </row>
    <row r="181" spans="3:8">
      <c r="H181" s="37"/>
    </row>
    <row r="182" spans="3:8" ht="17.5">
      <c r="C182" s="48" t="s">
        <v>93</v>
      </c>
      <c r="D182" s="15"/>
      <c r="E182" s="15"/>
      <c r="F182" s="15"/>
      <c r="G182" s="16"/>
    </row>
    <row r="183" spans="3:8">
      <c r="C183" s="49" t="s">
        <v>21</v>
      </c>
      <c r="D183" s="1" t="s">
        <v>68</v>
      </c>
      <c r="G183" s="66">
        <f ca="1">SUM(D130:OFFSET(D130,0,analysis_period))+ SUM(D133:OFFSET(D133,0,analysis_period))</f>
        <v>92881490.238723636</v>
      </c>
    </row>
    <row r="184" spans="3:8">
      <c r="C184" s="22"/>
      <c r="D184" s="44" t="s">
        <v>94</v>
      </c>
      <c r="E184" s="44"/>
      <c r="F184" s="44"/>
      <c r="G184" s="66">
        <f ca="1">G183*CRF_real</f>
        <v>8423076.9230769277</v>
      </c>
    </row>
    <row r="185" spans="3:8">
      <c r="C185" s="22"/>
      <c r="D185" s="44"/>
      <c r="E185" s="44"/>
      <c r="F185" s="44"/>
      <c r="G185" s="50"/>
    </row>
    <row r="186" spans="3:8">
      <c r="C186" s="49" t="s">
        <v>23</v>
      </c>
      <c r="D186" s="1" t="s">
        <v>95</v>
      </c>
      <c r="G186" s="66">
        <f ca="1">SUM(D130:OFFSET(D130,0,analysis_period))</f>
        <v>44583115.31458734</v>
      </c>
    </row>
    <row r="187" spans="3:8">
      <c r="C187" s="110"/>
      <c r="D187" s="18" t="s">
        <v>96</v>
      </c>
      <c r="E187" s="18"/>
      <c r="F187" s="18"/>
      <c r="G187" s="66">
        <f ca="1">G186*CRF_real</f>
        <v>4043076.9230769253</v>
      </c>
    </row>
    <row r="188" spans="3:8">
      <c r="G188" s="37"/>
      <c r="H188" s="46"/>
    </row>
    <row r="189" spans="3:8" ht="17.5">
      <c r="C189" s="48" t="s">
        <v>278</v>
      </c>
      <c r="D189" s="15"/>
      <c r="E189" s="15"/>
      <c r="F189" s="15"/>
      <c r="G189" s="16"/>
      <c r="H189" s="46"/>
    </row>
    <row r="190" spans="3:8">
      <c r="C190" s="22"/>
      <c r="D190" s="1" t="s">
        <v>280</v>
      </c>
      <c r="G190" s="66">
        <f ca="1">SUM(D50:OFFSET(D50,0,analysis_period))</f>
        <v>0</v>
      </c>
      <c r="H190" s="46"/>
    </row>
    <row r="191" spans="3:8">
      <c r="C191" s="17"/>
      <c r="D191" s="18" t="s">
        <v>281</v>
      </c>
      <c r="E191" s="18"/>
      <c r="F191" s="18"/>
      <c r="G191" s="66">
        <f ca="1">G190*CRF_real</f>
        <v>0</v>
      </c>
      <c r="H191" s="46"/>
    </row>
    <row r="192" spans="3:8">
      <c r="G192" s="37"/>
      <c r="H192" s="46"/>
    </row>
    <row r="193" spans="3:64" ht="17.5">
      <c r="C193" s="48" t="s">
        <v>279</v>
      </c>
      <c r="D193" s="15"/>
      <c r="E193" s="15"/>
      <c r="F193" s="15"/>
      <c r="G193" s="16"/>
      <c r="H193" s="46"/>
    </row>
    <row r="194" spans="3:64">
      <c r="C194" s="22"/>
      <c r="D194" s="1" t="s">
        <v>282</v>
      </c>
      <c r="G194" s="66">
        <f ca="1">SUM(D88:OFFSET(D88,0,analysis_period))</f>
        <v>0</v>
      </c>
      <c r="H194" s="46"/>
    </row>
    <row r="195" spans="3:64">
      <c r="C195" s="17"/>
      <c r="D195" s="18" t="s">
        <v>283</v>
      </c>
      <c r="E195" s="18"/>
      <c r="F195" s="18"/>
      <c r="G195" s="66">
        <f ca="1">G194*CRF_real</f>
        <v>0</v>
      </c>
      <c r="H195" s="46"/>
    </row>
    <row r="196" spans="3:64">
      <c r="G196" s="37"/>
      <c r="H196" s="46"/>
    </row>
    <row r="197" spans="3:64" ht="17.5">
      <c r="C197" s="48" t="s">
        <v>233</v>
      </c>
      <c r="D197" s="15"/>
      <c r="E197" s="15"/>
      <c r="F197" s="15"/>
      <c r="G197" s="16"/>
      <c r="H197" s="46"/>
    </row>
    <row r="198" spans="3:64">
      <c r="C198" s="22"/>
      <c r="D198" s="1" t="s">
        <v>97</v>
      </c>
      <c r="G198" s="66">
        <f ca="1">SUM(D72:OFFSET(D72,0,analysis_period))</f>
        <v>0</v>
      </c>
      <c r="H198" s="46"/>
    </row>
    <row r="199" spans="3:64">
      <c r="C199" s="17"/>
      <c r="D199" s="18" t="s">
        <v>98</v>
      </c>
      <c r="E199" s="18"/>
      <c r="F199" s="18"/>
      <c r="G199" s="66">
        <f ca="1">G198*CRF_real</f>
        <v>0</v>
      </c>
      <c r="H199" s="46"/>
    </row>
    <row r="201" spans="3:64" ht="17.5">
      <c r="C201" s="48" t="s">
        <v>232</v>
      </c>
      <c r="D201" s="15"/>
      <c r="E201" s="15"/>
      <c r="F201" s="15"/>
      <c r="G201" s="16"/>
    </row>
    <row r="202" spans="3:64">
      <c r="C202" s="17"/>
      <c r="D202" s="96" t="s">
        <v>60</v>
      </c>
      <c r="E202" s="18"/>
      <c r="F202" s="18"/>
      <c r="G202" s="73">
        <f ca="1">G150</f>
        <v>1609945830.8045433</v>
      </c>
      <c r="H202" s="47"/>
    </row>
    <row r="205" spans="3:64">
      <c r="D205" s="14" t="s">
        <v>44</v>
      </c>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6"/>
    </row>
    <row r="206" spans="3:64" ht="17.5">
      <c r="C206" s="130" t="s">
        <v>99</v>
      </c>
      <c r="D206" s="29">
        <v>0</v>
      </c>
      <c r="E206" s="30">
        <v>1</v>
      </c>
      <c r="F206" s="30">
        <v>2</v>
      </c>
      <c r="G206" s="30">
        <v>3</v>
      </c>
      <c r="H206" s="30">
        <v>4</v>
      </c>
      <c r="I206" s="30">
        <v>5</v>
      </c>
      <c r="J206" s="30">
        <v>6</v>
      </c>
      <c r="K206" s="30">
        <v>7</v>
      </c>
      <c r="L206" s="30">
        <v>8</v>
      </c>
      <c r="M206" s="30">
        <v>9</v>
      </c>
      <c r="N206" s="30">
        <v>10</v>
      </c>
      <c r="O206" s="30">
        <v>11</v>
      </c>
      <c r="P206" s="30">
        <v>12</v>
      </c>
      <c r="Q206" s="30">
        <v>13</v>
      </c>
      <c r="R206" s="30">
        <v>14</v>
      </c>
      <c r="S206" s="30">
        <v>15</v>
      </c>
      <c r="T206" s="30">
        <v>16</v>
      </c>
      <c r="U206" s="30">
        <v>17</v>
      </c>
      <c r="V206" s="30">
        <v>18</v>
      </c>
      <c r="W206" s="30">
        <v>19</v>
      </c>
      <c r="X206" s="30">
        <v>20</v>
      </c>
      <c r="Y206" s="30">
        <v>21</v>
      </c>
      <c r="Z206" s="30">
        <v>22</v>
      </c>
      <c r="AA206" s="30">
        <v>23</v>
      </c>
      <c r="AB206" s="30">
        <v>24</v>
      </c>
      <c r="AC206" s="30">
        <v>25</v>
      </c>
      <c r="AD206" s="30">
        <v>26</v>
      </c>
      <c r="AE206" s="30">
        <v>27</v>
      </c>
      <c r="AF206" s="30">
        <v>28</v>
      </c>
      <c r="AG206" s="30">
        <v>29</v>
      </c>
      <c r="AH206" s="30">
        <v>30</v>
      </c>
      <c r="AI206" s="30">
        <v>31</v>
      </c>
      <c r="AJ206" s="30">
        <v>32</v>
      </c>
      <c r="AK206" s="30">
        <v>33</v>
      </c>
      <c r="AL206" s="30">
        <v>34</v>
      </c>
      <c r="AM206" s="30">
        <v>35</v>
      </c>
      <c r="AN206" s="30">
        <v>36</v>
      </c>
      <c r="AO206" s="30">
        <v>37</v>
      </c>
      <c r="AP206" s="30">
        <v>38</v>
      </c>
      <c r="AQ206" s="30">
        <v>39</v>
      </c>
      <c r="AR206" s="30">
        <v>40</v>
      </c>
      <c r="AS206" s="30">
        <v>41</v>
      </c>
      <c r="AT206" s="30">
        <v>42</v>
      </c>
      <c r="AU206" s="30">
        <v>43</v>
      </c>
      <c r="AV206" s="30">
        <v>44</v>
      </c>
      <c r="AW206" s="30">
        <v>45</v>
      </c>
      <c r="AX206" s="30">
        <v>46</v>
      </c>
      <c r="AY206" s="30">
        <v>47</v>
      </c>
      <c r="AZ206" s="30">
        <v>48</v>
      </c>
      <c r="BA206" s="30">
        <v>49</v>
      </c>
      <c r="BB206" s="30">
        <v>50</v>
      </c>
      <c r="BC206" s="30">
        <v>51</v>
      </c>
      <c r="BD206" s="30">
        <v>52</v>
      </c>
      <c r="BE206" s="30">
        <v>53</v>
      </c>
      <c r="BF206" s="30">
        <v>54</v>
      </c>
      <c r="BG206" s="30">
        <v>55</v>
      </c>
      <c r="BH206" s="30">
        <v>56</v>
      </c>
      <c r="BI206" s="30">
        <v>57</v>
      </c>
      <c r="BJ206" s="30">
        <v>58</v>
      </c>
      <c r="BK206" s="30">
        <v>59</v>
      </c>
      <c r="BL206" s="121">
        <v>60</v>
      </c>
    </row>
    <row r="207" spans="3:64">
      <c r="C207" s="27" t="s">
        <v>88</v>
      </c>
      <c r="D207" s="104"/>
      <c r="E207" s="105">
        <f t="shared" ref="E207:AJ207" si="31">IF(E206&lt;=analysis_period,$G$172,"")</f>
        <v>14352938.341440361</v>
      </c>
      <c r="F207" s="105">
        <f t="shared" si="31"/>
        <v>14352938.341440361</v>
      </c>
      <c r="G207" s="105">
        <f t="shared" si="31"/>
        <v>14352938.341440361</v>
      </c>
      <c r="H207" s="105">
        <f t="shared" si="31"/>
        <v>14352938.341440361</v>
      </c>
      <c r="I207" s="105">
        <f t="shared" si="31"/>
        <v>14352938.341440361</v>
      </c>
      <c r="J207" s="105">
        <f t="shared" si="31"/>
        <v>14352938.341440361</v>
      </c>
      <c r="K207" s="105">
        <f t="shared" si="31"/>
        <v>14352938.341440361</v>
      </c>
      <c r="L207" s="105">
        <f t="shared" si="31"/>
        <v>14352938.341440361</v>
      </c>
      <c r="M207" s="105">
        <f t="shared" si="31"/>
        <v>14352938.341440361</v>
      </c>
      <c r="N207" s="105">
        <f t="shared" si="31"/>
        <v>14352938.341440361</v>
      </c>
      <c r="O207" s="105">
        <f t="shared" si="31"/>
        <v>14352938.341440361</v>
      </c>
      <c r="P207" s="105">
        <f t="shared" si="31"/>
        <v>14352938.341440361</v>
      </c>
      <c r="Q207" s="105">
        <f t="shared" si="31"/>
        <v>14352938.341440361</v>
      </c>
      <c r="R207" s="105">
        <f t="shared" si="31"/>
        <v>14352938.341440361</v>
      </c>
      <c r="S207" s="105">
        <f t="shared" si="31"/>
        <v>14352938.341440361</v>
      </c>
      <c r="T207" s="105">
        <f t="shared" si="31"/>
        <v>14352938.341440361</v>
      </c>
      <c r="U207" s="105">
        <f t="shared" si="31"/>
        <v>14352938.341440361</v>
      </c>
      <c r="V207" s="105">
        <f t="shared" si="31"/>
        <v>14352938.341440361</v>
      </c>
      <c r="W207" s="105">
        <f t="shared" si="31"/>
        <v>14352938.341440361</v>
      </c>
      <c r="X207" s="105">
        <f t="shared" si="31"/>
        <v>14352938.341440361</v>
      </c>
      <c r="Y207" s="105" t="str">
        <f t="shared" si="31"/>
        <v/>
      </c>
      <c r="Z207" s="105" t="str">
        <f t="shared" si="31"/>
        <v/>
      </c>
      <c r="AA207" s="105" t="str">
        <f t="shared" si="31"/>
        <v/>
      </c>
      <c r="AB207" s="105" t="str">
        <f t="shared" si="31"/>
        <v/>
      </c>
      <c r="AC207" s="105" t="str">
        <f t="shared" si="31"/>
        <v/>
      </c>
      <c r="AD207" s="105" t="str">
        <f t="shared" si="31"/>
        <v/>
      </c>
      <c r="AE207" s="105" t="str">
        <f t="shared" si="31"/>
        <v/>
      </c>
      <c r="AF207" s="105" t="str">
        <f t="shared" si="31"/>
        <v/>
      </c>
      <c r="AG207" s="105" t="str">
        <f t="shared" si="31"/>
        <v/>
      </c>
      <c r="AH207" s="105" t="str">
        <f t="shared" si="31"/>
        <v/>
      </c>
      <c r="AI207" s="105" t="str">
        <f t="shared" si="31"/>
        <v/>
      </c>
      <c r="AJ207" s="105" t="str">
        <f t="shared" si="31"/>
        <v/>
      </c>
      <c r="AK207" s="105" t="str">
        <f t="shared" ref="AK207:BB207" si="32">IF(AK206&lt;=analysis_period,$G$172,"")</f>
        <v/>
      </c>
      <c r="AL207" s="105" t="str">
        <f t="shared" si="32"/>
        <v/>
      </c>
      <c r="AM207" s="105" t="str">
        <f t="shared" si="32"/>
        <v/>
      </c>
      <c r="AN207" s="105" t="str">
        <f t="shared" si="32"/>
        <v/>
      </c>
      <c r="AO207" s="105" t="str">
        <f t="shared" si="32"/>
        <v/>
      </c>
      <c r="AP207" s="105" t="str">
        <f t="shared" si="32"/>
        <v/>
      </c>
      <c r="AQ207" s="105" t="str">
        <f t="shared" si="32"/>
        <v/>
      </c>
      <c r="AR207" s="105" t="str">
        <f t="shared" si="32"/>
        <v/>
      </c>
      <c r="AS207" s="105" t="str">
        <f t="shared" si="32"/>
        <v/>
      </c>
      <c r="AT207" s="105" t="str">
        <f t="shared" si="32"/>
        <v/>
      </c>
      <c r="AU207" s="105" t="str">
        <f t="shared" si="32"/>
        <v/>
      </c>
      <c r="AV207" s="105" t="str">
        <f t="shared" si="32"/>
        <v/>
      </c>
      <c r="AW207" s="105" t="str">
        <f t="shared" si="32"/>
        <v/>
      </c>
      <c r="AX207" s="105" t="str">
        <f t="shared" si="32"/>
        <v/>
      </c>
      <c r="AY207" s="105" t="str">
        <f t="shared" si="32"/>
        <v/>
      </c>
      <c r="AZ207" s="105" t="str">
        <f t="shared" si="32"/>
        <v/>
      </c>
      <c r="BA207" s="105" t="str">
        <f t="shared" si="32"/>
        <v/>
      </c>
      <c r="BB207" s="105" t="str">
        <f t="shared" si="32"/>
        <v/>
      </c>
      <c r="BC207" s="105" t="str">
        <f t="shared" ref="BC207:BL207" si="33">IF(BC206&lt;=analysis_period,$G$172,"")</f>
        <v/>
      </c>
      <c r="BD207" s="105" t="str">
        <f t="shared" si="33"/>
        <v/>
      </c>
      <c r="BE207" s="105" t="str">
        <f t="shared" si="33"/>
        <v/>
      </c>
      <c r="BF207" s="105" t="str">
        <f t="shared" si="33"/>
        <v/>
      </c>
      <c r="BG207" s="105" t="str">
        <f t="shared" si="33"/>
        <v/>
      </c>
      <c r="BH207" s="105" t="str">
        <f t="shared" si="33"/>
        <v/>
      </c>
      <c r="BI207" s="105" t="str">
        <f t="shared" si="33"/>
        <v/>
      </c>
      <c r="BJ207" s="105" t="str">
        <f t="shared" si="33"/>
        <v/>
      </c>
      <c r="BK207" s="105" t="str">
        <f t="shared" si="33"/>
        <v/>
      </c>
      <c r="BL207" s="106" t="str">
        <f t="shared" si="33"/>
        <v/>
      </c>
    </row>
    <row r="208" spans="3:64">
      <c r="C208" s="27" t="s">
        <v>100</v>
      </c>
      <c r="D208" s="153"/>
      <c r="E208" s="154">
        <f t="shared" ref="E208:AJ208" ca="1" si="34">IF(E206&lt;=analysis_period,$G$180,"")</f>
        <v>2183448.0311787752</v>
      </c>
      <c r="F208" s="154">
        <f t="shared" ca="1" si="34"/>
        <v>2183448.0311787752</v>
      </c>
      <c r="G208" s="154">
        <f t="shared" ca="1" si="34"/>
        <v>2183448.0311787752</v>
      </c>
      <c r="H208" s="154">
        <f t="shared" ca="1" si="34"/>
        <v>2183448.0311787752</v>
      </c>
      <c r="I208" s="154">
        <f t="shared" ca="1" si="34"/>
        <v>2183448.0311787752</v>
      </c>
      <c r="J208" s="154">
        <f t="shared" ca="1" si="34"/>
        <v>2183448.0311787752</v>
      </c>
      <c r="K208" s="154">
        <f t="shared" ca="1" si="34"/>
        <v>2183448.0311787752</v>
      </c>
      <c r="L208" s="154">
        <f t="shared" ca="1" si="34"/>
        <v>2183448.0311787752</v>
      </c>
      <c r="M208" s="154">
        <f t="shared" ca="1" si="34"/>
        <v>2183448.0311787752</v>
      </c>
      <c r="N208" s="154">
        <f t="shared" ca="1" si="34"/>
        <v>2183448.0311787752</v>
      </c>
      <c r="O208" s="154">
        <f t="shared" ca="1" si="34"/>
        <v>2183448.0311787752</v>
      </c>
      <c r="P208" s="154">
        <f t="shared" ca="1" si="34"/>
        <v>2183448.0311787752</v>
      </c>
      <c r="Q208" s="154">
        <f t="shared" ca="1" si="34"/>
        <v>2183448.0311787752</v>
      </c>
      <c r="R208" s="154">
        <f t="shared" ca="1" si="34"/>
        <v>2183448.0311787752</v>
      </c>
      <c r="S208" s="154">
        <f t="shared" ca="1" si="34"/>
        <v>2183448.0311787752</v>
      </c>
      <c r="T208" s="154">
        <f t="shared" ca="1" si="34"/>
        <v>2183448.0311787752</v>
      </c>
      <c r="U208" s="154">
        <f t="shared" ca="1" si="34"/>
        <v>2183448.0311787752</v>
      </c>
      <c r="V208" s="154">
        <f t="shared" ca="1" si="34"/>
        <v>2183448.0311787752</v>
      </c>
      <c r="W208" s="154">
        <f t="shared" ca="1" si="34"/>
        <v>2183448.0311787752</v>
      </c>
      <c r="X208" s="154">
        <f t="shared" ca="1" si="34"/>
        <v>2183448.0311787752</v>
      </c>
      <c r="Y208" s="154" t="str">
        <f t="shared" si="34"/>
        <v/>
      </c>
      <c r="Z208" s="154" t="str">
        <f t="shared" si="34"/>
        <v/>
      </c>
      <c r="AA208" s="154" t="str">
        <f t="shared" si="34"/>
        <v/>
      </c>
      <c r="AB208" s="154" t="str">
        <f t="shared" si="34"/>
        <v/>
      </c>
      <c r="AC208" s="154" t="str">
        <f t="shared" si="34"/>
        <v/>
      </c>
      <c r="AD208" s="154" t="str">
        <f t="shared" si="34"/>
        <v/>
      </c>
      <c r="AE208" s="154" t="str">
        <f t="shared" si="34"/>
        <v/>
      </c>
      <c r="AF208" s="154" t="str">
        <f t="shared" si="34"/>
        <v/>
      </c>
      <c r="AG208" s="154" t="str">
        <f t="shared" si="34"/>
        <v/>
      </c>
      <c r="AH208" s="154" t="str">
        <f t="shared" si="34"/>
        <v/>
      </c>
      <c r="AI208" s="154" t="str">
        <f t="shared" si="34"/>
        <v/>
      </c>
      <c r="AJ208" s="154" t="str">
        <f t="shared" si="34"/>
        <v/>
      </c>
      <c r="AK208" s="154" t="str">
        <f t="shared" ref="AK208:BL208" si="35">IF(AK206&lt;=analysis_period,$G$180,"")</f>
        <v/>
      </c>
      <c r="AL208" s="154" t="str">
        <f t="shared" si="35"/>
        <v/>
      </c>
      <c r="AM208" s="154" t="str">
        <f t="shared" si="35"/>
        <v/>
      </c>
      <c r="AN208" s="154" t="str">
        <f t="shared" si="35"/>
        <v/>
      </c>
      <c r="AO208" s="154" t="str">
        <f t="shared" si="35"/>
        <v/>
      </c>
      <c r="AP208" s="154" t="str">
        <f t="shared" si="35"/>
        <v/>
      </c>
      <c r="AQ208" s="154" t="str">
        <f t="shared" si="35"/>
        <v/>
      </c>
      <c r="AR208" s="154" t="str">
        <f t="shared" si="35"/>
        <v/>
      </c>
      <c r="AS208" s="154" t="str">
        <f t="shared" si="35"/>
        <v/>
      </c>
      <c r="AT208" s="154" t="str">
        <f t="shared" si="35"/>
        <v/>
      </c>
      <c r="AU208" s="154" t="str">
        <f t="shared" si="35"/>
        <v/>
      </c>
      <c r="AV208" s="154" t="str">
        <f t="shared" si="35"/>
        <v/>
      </c>
      <c r="AW208" s="154" t="str">
        <f t="shared" si="35"/>
        <v/>
      </c>
      <c r="AX208" s="154" t="str">
        <f t="shared" si="35"/>
        <v/>
      </c>
      <c r="AY208" s="154" t="str">
        <f t="shared" si="35"/>
        <v/>
      </c>
      <c r="AZ208" s="154" t="str">
        <f t="shared" si="35"/>
        <v/>
      </c>
      <c r="BA208" s="154" t="str">
        <f t="shared" si="35"/>
        <v/>
      </c>
      <c r="BB208" s="154" t="str">
        <f t="shared" si="35"/>
        <v/>
      </c>
      <c r="BC208" s="154" t="str">
        <f t="shared" si="35"/>
        <v/>
      </c>
      <c r="BD208" s="154" t="str">
        <f t="shared" si="35"/>
        <v/>
      </c>
      <c r="BE208" s="154" t="str">
        <f t="shared" si="35"/>
        <v/>
      </c>
      <c r="BF208" s="154" t="str">
        <f t="shared" si="35"/>
        <v/>
      </c>
      <c r="BG208" s="154" t="str">
        <f t="shared" si="35"/>
        <v/>
      </c>
      <c r="BH208" s="154" t="str">
        <f t="shared" si="35"/>
        <v/>
      </c>
      <c r="BI208" s="154" t="str">
        <f t="shared" si="35"/>
        <v/>
      </c>
      <c r="BJ208" s="154" t="str">
        <f t="shared" si="35"/>
        <v/>
      </c>
      <c r="BK208" s="154" t="str">
        <f t="shared" si="35"/>
        <v/>
      </c>
      <c r="BL208" s="155" t="str">
        <f t="shared" si="35"/>
        <v/>
      </c>
    </row>
    <row r="209" spans="3:64">
      <c r="C209" s="27" t="s">
        <v>101</v>
      </c>
      <c r="D209" s="153"/>
      <c r="E209" s="154">
        <f ca="1">IF(E206&lt;=analysis_period,$G$184,"")</f>
        <v>8423076.9230769277</v>
      </c>
      <c r="F209" s="154">
        <f t="shared" ref="F209:AJ209" ca="1" si="36">IF(F206&lt;=analysis_period,$G$184,"")</f>
        <v>8423076.9230769277</v>
      </c>
      <c r="G209" s="154">
        <f t="shared" ca="1" si="36"/>
        <v>8423076.9230769277</v>
      </c>
      <c r="H209" s="154">
        <f t="shared" ca="1" si="36"/>
        <v>8423076.9230769277</v>
      </c>
      <c r="I209" s="154">
        <f t="shared" ca="1" si="36"/>
        <v>8423076.9230769277</v>
      </c>
      <c r="J209" s="154">
        <f t="shared" ca="1" si="36"/>
        <v>8423076.9230769277</v>
      </c>
      <c r="K209" s="154">
        <f t="shared" ca="1" si="36"/>
        <v>8423076.9230769277</v>
      </c>
      <c r="L209" s="154">
        <f t="shared" ca="1" si="36"/>
        <v>8423076.9230769277</v>
      </c>
      <c r="M209" s="154">
        <f t="shared" ca="1" si="36"/>
        <v>8423076.9230769277</v>
      </c>
      <c r="N209" s="154">
        <f t="shared" ca="1" si="36"/>
        <v>8423076.9230769277</v>
      </c>
      <c r="O209" s="154">
        <f t="shared" ca="1" si="36"/>
        <v>8423076.9230769277</v>
      </c>
      <c r="P209" s="154">
        <f t="shared" ca="1" si="36"/>
        <v>8423076.9230769277</v>
      </c>
      <c r="Q209" s="154">
        <f t="shared" ca="1" si="36"/>
        <v>8423076.9230769277</v>
      </c>
      <c r="R209" s="154">
        <f t="shared" ca="1" si="36"/>
        <v>8423076.9230769277</v>
      </c>
      <c r="S209" s="154">
        <f t="shared" ca="1" si="36"/>
        <v>8423076.9230769277</v>
      </c>
      <c r="T209" s="154">
        <f t="shared" ca="1" si="36"/>
        <v>8423076.9230769277</v>
      </c>
      <c r="U209" s="154">
        <f t="shared" ca="1" si="36"/>
        <v>8423076.9230769277</v>
      </c>
      <c r="V209" s="154">
        <f t="shared" ca="1" si="36"/>
        <v>8423076.9230769277</v>
      </c>
      <c r="W209" s="154">
        <f t="shared" ca="1" si="36"/>
        <v>8423076.9230769277</v>
      </c>
      <c r="X209" s="154">
        <f t="shared" ca="1" si="36"/>
        <v>8423076.9230769277</v>
      </c>
      <c r="Y209" s="154" t="str">
        <f t="shared" si="36"/>
        <v/>
      </c>
      <c r="Z209" s="154" t="str">
        <f t="shared" si="36"/>
        <v/>
      </c>
      <c r="AA209" s="154" t="str">
        <f t="shared" si="36"/>
        <v/>
      </c>
      <c r="AB209" s="154" t="str">
        <f t="shared" si="36"/>
        <v/>
      </c>
      <c r="AC209" s="154" t="str">
        <f t="shared" si="36"/>
        <v/>
      </c>
      <c r="AD209" s="154" t="str">
        <f t="shared" si="36"/>
        <v/>
      </c>
      <c r="AE209" s="154" t="str">
        <f t="shared" si="36"/>
        <v/>
      </c>
      <c r="AF209" s="154" t="str">
        <f t="shared" si="36"/>
        <v/>
      </c>
      <c r="AG209" s="154" t="str">
        <f t="shared" si="36"/>
        <v/>
      </c>
      <c r="AH209" s="154" t="str">
        <f t="shared" si="36"/>
        <v/>
      </c>
      <c r="AI209" s="154" t="str">
        <f t="shared" si="36"/>
        <v/>
      </c>
      <c r="AJ209" s="154" t="str">
        <f t="shared" si="36"/>
        <v/>
      </c>
      <c r="AK209" s="154" t="str">
        <f t="shared" ref="AK209:BL209" si="37">IF(AK206&lt;=analysis_period,$G$184,"")</f>
        <v/>
      </c>
      <c r="AL209" s="154" t="str">
        <f t="shared" si="37"/>
        <v/>
      </c>
      <c r="AM209" s="154" t="str">
        <f t="shared" si="37"/>
        <v/>
      </c>
      <c r="AN209" s="154" t="str">
        <f t="shared" si="37"/>
        <v/>
      </c>
      <c r="AO209" s="154" t="str">
        <f t="shared" si="37"/>
        <v/>
      </c>
      <c r="AP209" s="154" t="str">
        <f t="shared" si="37"/>
        <v/>
      </c>
      <c r="AQ209" s="154" t="str">
        <f t="shared" si="37"/>
        <v/>
      </c>
      <c r="AR209" s="154" t="str">
        <f t="shared" si="37"/>
        <v/>
      </c>
      <c r="AS209" s="154" t="str">
        <f t="shared" si="37"/>
        <v/>
      </c>
      <c r="AT209" s="154" t="str">
        <f t="shared" si="37"/>
        <v/>
      </c>
      <c r="AU209" s="154" t="str">
        <f t="shared" si="37"/>
        <v/>
      </c>
      <c r="AV209" s="154" t="str">
        <f t="shared" si="37"/>
        <v/>
      </c>
      <c r="AW209" s="154" t="str">
        <f t="shared" si="37"/>
        <v/>
      </c>
      <c r="AX209" s="154" t="str">
        <f t="shared" si="37"/>
        <v/>
      </c>
      <c r="AY209" s="154" t="str">
        <f t="shared" si="37"/>
        <v/>
      </c>
      <c r="AZ209" s="154" t="str">
        <f t="shared" si="37"/>
        <v/>
      </c>
      <c r="BA209" s="154" t="str">
        <f t="shared" si="37"/>
        <v/>
      </c>
      <c r="BB209" s="154" t="str">
        <f t="shared" si="37"/>
        <v/>
      </c>
      <c r="BC209" s="154" t="str">
        <f t="shared" si="37"/>
        <v/>
      </c>
      <c r="BD209" s="154" t="str">
        <f t="shared" si="37"/>
        <v/>
      </c>
      <c r="BE209" s="154" t="str">
        <f t="shared" si="37"/>
        <v/>
      </c>
      <c r="BF209" s="154" t="str">
        <f t="shared" si="37"/>
        <v/>
      </c>
      <c r="BG209" s="154" t="str">
        <f t="shared" si="37"/>
        <v/>
      </c>
      <c r="BH209" s="154" t="str">
        <f t="shared" si="37"/>
        <v/>
      </c>
      <c r="BI209" s="154" t="str">
        <f t="shared" si="37"/>
        <v/>
      </c>
      <c r="BJ209" s="154" t="str">
        <f t="shared" si="37"/>
        <v/>
      </c>
      <c r="BK209" s="154" t="str">
        <f t="shared" si="37"/>
        <v/>
      </c>
      <c r="BL209" s="155" t="str">
        <f t="shared" si="37"/>
        <v/>
      </c>
    </row>
    <row r="210" spans="3:64">
      <c r="C210" s="27" t="s">
        <v>229</v>
      </c>
      <c r="D210" s="107"/>
      <c r="E210" s="108">
        <f t="shared" ref="E210:AJ210" ca="1" si="38">IF(E206&lt;=analysis_period,$G$187,"")</f>
        <v>4043076.9230769253</v>
      </c>
      <c r="F210" s="108">
        <f t="shared" ca="1" si="38"/>
        <v>4043076.9230769253</v>
      </c>
      <c r="G210" s="108">
        <f t="shared" ca="1" si="38"/>
        <v>4043076.9230769253</v>
      </c>
      <c r="H210" s="108">
        <f t="shared" ca="1" si="38"/>
        <v>4043076.9230769253</v>
      </c>
      <c r="I210" s="108">
        <f t="shared" ca="1" si="38"/>
        <v>4043076.9230769253</v>
      </c>
      <c r="J210" s="108">
        <f t="shared" ca="1" si="38"/>
        <v>4043076.9230769253</v>
      </c>
      <c r="K210" s="108">
        <f t="shared" ca="1" si="38"/>
        <v>4043076.9230769253</v>
      </c>
      <c r="L210" s="108">
        <f t="shared" ca="1" si="38"/>
        <v>4043076.9230769253</v>
      </c>
      <c r="M210" s="108">
        <f t="shared" ca="1" si="38"/>
        <v>4043076.9230769253</v>
      </c>
      <c r="N210" s="108">
        <f t="shared" ca="1" si="38"/>
        <v>4043076.9230769253</v>
      </c>
      <c r="O210" s="108">
        <f t="shared" ca="1" si="38"/>
        <v>4043076.9230769253</v>
      </c>
      <c r="P210" s="108">
        <f t="shared" ca="1" si="38"/>
        <v>4043076.9230769253</v>
      </c>
      <c r="Q210" s="108">
        <f t="shared" ca="1" si="38"/>
        <v>4043076.9230769253</v>
      </c>
      <c r="R210" s="108">
        <f t="shared" ca="1" si="38"/>
        <v>4043076.9230769253</v>
      </c>
      <c r="S210" s="108">
        <f t="shared" ca="1" si="38"/>
        <v>4043076.9230769253</v>
      </c>
      <c r="T210" s="108">
        <f t="shared" ca="1" si="38"/>
        <v>4043076.9230769253</v>
      </c>
      <c r="U210" s="108">
        <f t="shared" ca="1" si="38"/>
        <v>4043076.9230769253</v>
      </c>
      <c r="V210" s="108">
        <f t="shared" ca="1" si="38"/>
        <v>4043076.9230769253</v>
      </c>
      <c r="W210" s="108">
        <f t="shared" ca="1" si="38"/>
        <v>4043076.9230769253</v>
      </c>
      <c r="X210" s="108">
        <f t="shared" ca="1" si="38"/>
        <v>4043076.9230769253</v>
      </c>
      <c r="Y210" s="108" t="str">
        <f t="shared" si="38"/>
        <v/>
      </c>
      <c r="Z210" s="108" t="str">
        <f t="shared" si="38"/>
        <v/>
      </c>
      <c r="AA210" s="108" t="str">
        <f t="shared" si="38"/>
        <v/>
      </c>
      <c r="AB210" s="108" t="str">
        <f t="shared" si="38"/>
        <v/>
      </c>
      <c r="AC210" s="108" t="str">
        <f t="shared" si="38"/>
        <v/>
      </c>
      <c r="AD210" s="108" t="str">
        <f t="shared" si="38"/>
        <v/>
      </c>
      <c r="AE210" s="108" t="str">
        <f t="shared" si="38"/>
        <v/>
      </c>
      <c r="AF210" s="108" t="str">
        <f t="shared" si="38"/>
        <v/>
      </c>
      <c r="AG210" s="108" t="str">
        <f t="shared" si="38"/>
        <v/>
      </c>
      <c r="AH210" s="108" t="str">
        <f t="shared" si="38"/>
        <v/>
      </c>
      <c r="AI210" s="108" t="str">
        <f t="shared" si="38"/>
        <v/>
      </c>
      <c r="AJ210" s="108" t="str">
        <f t="shared" si="38"/>
        <v/>
      </c>
      <c r="AK210" s="108" t="str">
        <f t="shared" ref="AK210:BL210" si="39">IF(AK206&lt;=analysis_period,$G$187,"")</f>
        <v/>
      </c>
      <c r="AL210" s="108" t="str">
        <f t="shared" si="39"/>
        <v/>
      </c>
      <c r="AM210" s="108" t="str">
        <f t="shared" si="39"/>
        <v/>
      </c>
      <c r="AN210" s="108" t="str">
        <f t="shared" si="39"/>
        <v/>
      </c>
      <c r="AO210" s="108" t="str">
        <f t="shared" si="39"/>
        <v/>
      </c>
      <c r="AP210" s="108" t="str">
        <f t="shared" si="39"/>
        <v/>
      </c>
      <c r="AQ210" s="108" t="str">
        <f t="shared" si="39"/>
        <v/>
      </c>
      <c r="AR210" s="108" t="str">
        <f t="shared" si="39"/>
        <v/>
      </c>
      <c r="AS210" s="108" t="str">
        <f t="shared" si="39"/>
        <v/>
      </c>
      <c r="AT210" s="108" t="str">
        <f t="shared" si="39"/>
        <v/>
      </c>
      <c r="AU210" s="108" t="str">
        <f t="shared" si="39"/>
        <v/>
      </c>
      <c r="AV210" s="108" t="str">
        <f t="shared" si="39"/>
        <v/>
      </c>
      <c r="AW210" s="108" t="str">
        <f t="shared" si="39"/>
        <v/>
      </c>
      <c r="AX210" s="108" t="str">
        <f t="shared" si="39"/>
        <v/>
      </c>
      <c r="AY210" s="108" t="str">
        <f t="shared" si="39"/>
        <v/>
      </c>
      <c r="AZ210" s="108" t="str">
        <f t="shared" si="39"/>
        <v/>
      </c>
      <c r="BA210" s="108" t="str">
        <f t="shared" si="39"/>
        <v/>
      </c>
      <c r="BB210" s="108" t="str">
        <f t="shared" si="39"/>
        <v/>
      </c>
      <c r="BC210" s="108" t="str">
        <f t="shared" si="39"/>
        <v/>
      </c>
      <c r="BD210" s="108" t="str">
        <f t="shared" si="39"/>
        <v/>
      </c>
      <c r="BE210" s="108" t="str">
        <f t="shared" si="39"/>
        <v/>
      </c>
      <c r="BF210" s="108" t="str">
        <f t="shared" si="39"/>
        <v/>
      </c>
      <c r="BG210" s="108" t="str">
        <f t="shared" si="39"/>
        <v/>
      </c>
      <c r="BH210" s="108" t="str">
        <f t="shared" si="39"/>
        <v/>
      </c>
      <c r="BI210" s="108" t="str">
        <f t="shared" si="39"/>
        <v/>
      </c>
      <c r="BJ210" s="108" t="str">
        <f t="shared" si="39"/>
        <v/>
      </c>
      <c r="BK210" s="108" t="str">
        <f t="shared" si="39"/>
        <v/>
      </c>
      <c r="BL210" s="109" t="str">
        <f t="shared" si="39"/>
        <v/>
      </c>
    </row>
    <row r="211" spans="3:64">
      <c r="C211" s="27" t="s">
        <v>102</v>
      </c>
      <c r="D211" s="107"/>
      <c r="E211" s="108">
        <f t="shared" ref="E211:AJ211" ca="1" si="40">IF(E206&lt;=analysis_period,$G$199,"")</f>
        <v>0</v>
      </c>
      <c r="F211" s="108">
        <f t="shared" ca="1" si="40"/>
        <v>0</v>
      </c>
      <c r="G211" s="108">
        <f t="shared" ca="1" si="40"/>
        <v>0</v>
      </c>
      <c r="H211" s="108">
        <f t="shared" ca="1" si="40"/>
        <v>0</v>
      </c>
      <c r="I211" s="108">
        <f t="shared" ca="1" si="40"/>
        <v>0</v>
      </c>
      <c r="J211" s="108">
        <f t="shared" ca="1" si="40"/>
        <v>0</v>
      </c>
      <c r="K211" s="108">
        <f t="shared" ca="1" si="40"/>
        <v>0</v>
      </c>
      <c r="L211" s="108">
        <f t="shared" ca="1" si="40"/>
        <v>0</v>
      </c>
      <c r="M211" s="108">
        <f t="shared" ca="1" si="40"/>
        <v>0</v>
      </c>
      <c r="N211" s="108">
        <f t="shared" ca="1" si="40"/>
        <v>0</v>
      </c>
      <c r="O211" s="108">
        <f t="shared" ca="1" si="40"/>
        <v>0</v>
      </c>
      <c r="P211" s="108">
        <f t="shared" ca="1" si="40"/>
        <v>0</v>
      </c>
      <c r="Q211" s="108">
        <f t="shared" ca="1" si="40"/>
        <v>0</v>
      </c>
      <c r="R211" s="108">
        <f t="shared" ca="1" si="40"/>
        <v>0</v>
      </c>
      <c r="S211" s="108">
        <f t="shared" ca="1" si="40"/>
        <v>0</v>
      </c>
      <c r="T211" s="108">
        <f t="shared" ca="1" si="40"/>
        <v>0</v>
      </c>
      <c r="U211" s="108">
        <f t="shared" ca="1" si="40"/>
        <v>0</v>
      </c>
      <c r="V211" s="108">
        <f t="shared" ca="1" si="40"/>
        <v>0</v>
      </c>
      <c r="W211" s="108">
        <f t="shared" ca="1" si="40"/>
        <v>0</v>
      </c>
      <c r="X211" s="108">
        <f t="shared" ca="1" si="40"/>
        <v>0</v>
      </c>
      <c r="Y211" s="108" t="str">
        <f t="shared" si="40"/>
        <v/>
      </c>
      <c r="Z211" s="108" t="str">
        <f t="shared" si="40"/>
        <v/>
      </c>
      <c r="AA211" s="108" t="str">
        <f t="shared" si="40"/>
        <v/>
      </c>
      <c r="AB211" s="108" t="str">
        <f t="shared" si="40"/>
        <v/>
      </c>
      <c r="AC211" s="108" t="str">
        <f t="shared" si="40"/>
        <v/>
      </c>
      <c r="AD211" s="108" t="str">
        <f t="shared" si="40"/>
        <v/>
      </c>
      <c r="AE211" s="108" t="str">
        <f t="shared" si="40"/>
        <v/>
      </c>
      <c r="AF211" s="108" t="str">
        <f t="shared" si="40"/>
        <v/>
      </c>
      <c r="AG211" s="108" t="str">
        <f t="shared" si="40"/>
        <v/>
      </c>
      <c r="AH211" s="108" t="str">
        <f t="shared" si="40"/>
        <v/>
      </c>
      <c r="AI211" s="108" t="str">
        <f t="shared" si="40"/>
        <v/>
      </c>
      <c r="AJ211" s="108" t="str">
        <f t="shared" si="40"/>
        <v/>
      </c>
      <c r="AK211" s="108" t="str">
        <f t="shared" ref="AK211:BL211" si="41">IF(AK206&lt;=analysis_period,$G$199,"")</f>
        <v/>
      </c>
      <c r="AL211" s="108" t="str">
        <f t="shared" si="41"/>
        <v/>
      </c>
      <c r="AM211" s="108" t="str">
        <f t="shared" si="41"/>
        <v/>
      </c>
      <c r="AN211" s="108" t="str">
        <f t="shared" si="41"/>
        <v/>
      </c>
      <c r="AO211" s="108" t="str">
        <f t="shared" si="41"/>
        <v/>
      </c>
      <c r="AP211" s="108" t="str">
        <f t="shared" si="41"/>
        <v/>
      </c>
      <c r="AQ211" s="108" t="str">
        <f t="shared" si="41"/>
        <v/>
      </c>
      <c r="AR211" s="108" t="str">
        <f t="shared" si="41"/>
        <v/>
      </c>
      <c r="AS211" s="108" t="str">
        <f t="shared" si="41"/>
        <v/>
      </c>
      <c r="AT211" s="108" t="str">
        <f t="shared" si="41"/>
        <v/>
      </c>
      <c r="AU211" s="108" t="str">
        <f t="shared" si="41"/>
        <v/>
      </c>
      <c r="AV211" s="108" t="str">
        <f t="shared" si="41"/>
        <v/>
      </c>
      <c r="AW211" s="108" t="str">
        <f t="shared" si="41"/>
        <v/>
      </c>
      <c r="AX211" s="108" t="str">
        <f t="shared" si="41"/>
        <v/>
      </c>
      <c r="AY211" s="108" t="str">
        <f t="shared" si="41"/>
        <v/>
      </c>
      <c r="AZ211" s="108" t="str">
        <f t="shared" si="41"/>
        <v/>
      </c>
      <c r="BA211" s="108" t="str">
        <f t="shared" si="41"/>
        <v/>
      </c>
      <c r="BB211" s="108" t="str">
        <f t="shared" si="41"/>
        <v/>
      </c>
      <c r="BC211" s="108" t="str">
        <f t="shared" si="41"/>
        <v/>
      </c>
      <c r="BD211" s="108" t="str">
        <f t="shared" si="41"/>
        <v/>
      </c>
      <c r="BE211" s="108" t="str">
        <f t="shared" si="41"/>
        <v/>
      </c>
      <c r="BF211" s="108" t="str">
        <f t="shared" si="41"/>
        <v/>
      </c>
      <c r="BG211" s="108" t="str">
        <f t="shared" si="41"/>
        <v/>
      </c>
      <c r="BH211" s="108" t="str">
        <f t="shared" si="41"/>
        <v/>
      </c>
      <c r="BI211" s="108" t="str">
        <f t="shared" si="41"/>
        <v/>
      </c>
      <c r="BJ211" s="108" t="str">
        <f t="shared" si="41"/>
        <v/>
      </c>
      <c r="BK211" s="108" t="str">
        <f t="shared" si="41"/>
        <v/>
      </c>
      <c r="BL211" s="109" t="str">
        <f t="shared" si="41"/>
        <v/>
      </c>
    </row>
    <row r="212" spans="3:64">
      <c r="C212" s="27" t="s">
        <v>276</v>
      </c>
      <c r="D212" s="157"/>
      <c r="E212" s="154">
        <f t="shared" ref="E212:AJ212" ca="1" si="42">IF(E206&lt;=analysis_period,$G$191,"")</f>
        <v>0</v>
      </c>
      <c r="F212" s="154">
        <f t="shared" ca="1" si="42"/>
        <v>0</v>
      </c>
      <c r="G212" s="154">
        <f t="shared" ca="1" si="42"/>
        <v>0</v>
      </c>
      <c r="H212" s="154">
        <f t="shared" ca="1" si="42"/>
        <v>0</v>
      </c>
      <c r="I212" s="154">
        <f t="shared" ca="1" si="42"/>
        <v>0</v>
      </c>
      <c r="J212" s="154">
        <f t="shared" ca="1" si="42"/>
        <v>0</v>
      </c>
      <c r="K212" s="154">
        <f t="shared" ca="1" si="42"/>
        <v>0</v>
      </c>
      <c r="L212" s="154">
        <f t="shared" ca="1" si="42"/>
        <v>0</v>
      </c>
      <c r="M212" s="154">
        <f t="shared" ca="1" si="42"/>
        <v>0</v>
      </c>
      <c r="N212" s="154">
        <f t="shared" ca="1" si="42"/>
        <v>0</v>
      </c>
      <c r="O212" s="154">
        <f t="shared" ca="1" si="42"/>
        <v>0</v>
      </c>
      <c r="P212" s="154">
        <f t="shared" ca="1" si="42"/>
        <v>0</v>
      </c>
      <c r="Q212" s="154">
        <f t="shared" ca="1" si="42"/>
        <v>0</v>
      </c>
      <c r="R212" s="154">
        <f t="shared" ca="1" si="42"/>
        <v>0</v>
      </c>
      <c r="S212" s="154">
        <f t="shared" ca="1" si="42"/>
        <v>0</v>
      </c>
      <c r="T212" s="154">
        <f t="shared" ca="1" si="42"/>
        <v>0</v>
      </c>
      <c r="U212" s="154">
        <f t="shared" ca="1" si="42"/>
        <v>0</v>
      </c>
      <c r="V212" s="154">
        <f t="shared" ca="1" si="42"/>
        <v>0</v>
      </c>
      <c r="W212" s="154">
        <f t="shared" ca="1" si="42"/>
        <v>0</v>
      </c>
      <c r="X212" s="154">
        <f t="shared" ca="1" si="42"/>
        <v>0</v>
      </c>
      <c r="Y212" s="154" t="str">
        <f t="shared" si="42"/>
        <v/>
      </c>
      <c r="Z212" s="154" t="str">
        <f t="shared" si="42"/>
        <v/>
      </c>
      <c r="AA212" s="154" t="str">
        <f t="shared" si="42"/>
        <v/>
      </c>
      <c r="AB212" s="154" t="str">
        <f t="shared" si="42"/>
        <v/>
      </c>
      <c r="AC212" s="154" t="str">
        <f t="shared" si="42"/>
        <v/>
      </c>
      <c r="AD212" s="154" t="str">
        <f t="shared" si="42"/>
        <v/>
      </c>
      <c r="AE212" s="154" t="str">
        <f t="shared" si="42"/>
        <v/>
      </c>
      <c r="AF212" s="154" t="str">
        <f t="shared" si="42"/>
        <v/>
      </c>
      <c r="AG212" s="154" t="str">
        <f t="shared" si="42"/>
        <v/>
      </c>
      <c r="AH212" s="154" t="str">
        <f t="shared" si="42"/>
        <v/>
      </c>
      <c r="AI212" s="154" t="str">
        <f t="shared" si="42"/>
        <v/>
      </c>
      <c r="AJ212" s="154" t="str">
        <f t="shared" si="42"/>
        <v/>
      </c>
      <c r="AK212" s="154" t="str">
        <f t="shared" ref="AK212:BL212" si="43">IF(AK206&lt;=analysis_period,$G$191,"")</f>
        <v/>
      </c>
      <c r="AL212" s="154" t="str">
        <f t="shared" si="43"/>
        <v/>
      </c>
      <c r="AM212" s="154" t="str">
        <f t="shared" si="43"/>
        <v/>
      </c>
      <c r="AN212" s="154" t="str">
        <f t="shared" si="43"/>
        <v/>
      </c>
      <c r="AO212" s="154" t="str">
        <f t="shared" si="43"/>
        <v/>
      </c>
      <c r="AP212" s="154" t="str">
        <f t="shared" si="43"/>
        <v/>
      </c>
      <c r="AQ212" s="154" t="str">
        <f t="shared" si="43"/>
        <v/>
      </c>
      <c r="AR212" s="154" t="str">
        <f t="shared" si="43"/>
        <v/>
      </c>
      <c r="AS212" s="154" t="str">
        <f t="shared" si="43"/>
        <v/>
      </c>
      <c r="AT212" s="154" t="str">
        <f t="shared" si="43"/>
        <v/>
      </c>
      <c r="AU212" s="154" t="str">
        <f t="shared" si="43"/>
        <v/>
      </c>
      <c r="AV212" s="154" t="str">
        <f t="shared" si="43"/>
        <v/>
      </c>
      <c r="AW212" s="154" t="str">
        <f t="shared" si="43"/>
        <v/>
      </c>
      <c r="AX212" s="154" t="str">
        <f t="shared" si="43"/>
        <v/>
      </c>
      <c r="AY212" s="154" t="str">
        <f t="shared" si="43"/>
        <v/>
      </c>
      <c r="AZ212" s="154" t="str">
        <f t="shared" si="43"/>
        <v/>
      </c>
      <c r="BA212" s="154" t="str">
        <f t="shared" si="43"/>
        <v/>
      </c>
      <c r="BB212" s="154" t="str">
        <f t="shared" si="43"/>
        <v/>
      </c>
      <c r="BC212" s="154" t="str">
        <f t="shared" si="43"/>
        <v/>
      </c>
      <c r="BD212" s="154" t="str">
        <f t="shared" si="43"/>
        <v/>
      </c>
      <c r="BE212" s="154" t="str">
        <f t="shared" si="43"/>
        <v/>
      </c>
      <c r="BF212" s="154" t="str">
        <f t="shared" si="43"/>
        <v/>
      </c>
      <c r="BG212" s="154" t="str">
        <f t="shared" si="43"/>
        <v/>
      </c>
      <c r="BH212" s="154" t="str">
        <f t="shared" si="43"/>
        <v/>
      </c>
      <c r="BI212" s="154" t="str">
        <f t="shared" si="43"/>
        <v/>
      </c>
      <c r="BJ212" s="154" t="str">
        <f t="shared" si="43"/>
        <v/>
      </c>
      <c r="BK212" s="154" t="str">
        <f t="shared" si="43"/>
        <v/>
      </c>
      <c r="BL212" s="155" t="str">
        <f t="shared" si="43"/>
        <v/>
      </c>
    </row>
    <row r="213" spans="3:64">
      <c r="C213" s="27" t="s">
        <v>277</v>
      </c>
      <c r="D213" s="153"/>
      <c r="E213" s="154">
        <f t="shared" ref="E213:AJ213" ca="1" si="44">IF(E206&lt;=analysis_period,$G$195,"")</f>
        <v>0</v>
      </c>
      <c r="F213" s="154">
        <f t="shared" ca="1" si="44"/>
        <v>0</v>
      </c>
      <c r="G213" s="154">
        <f t="shared" ca="1" si="44"/>
        <v>0</v>
      </c>
      <c r="H213" s="154">
        <f t="shared" ca="1" si="44"/>
        <v>0</v>
      </c>
      <c r="I213" s="154">
        <f t="shared" ca="1" si="44"/>
        <v>0</v>
      </c>
      <c r="J213" s="154">
        <f t="shared" ca="1" si="44"/>
        <v>0</v>
      </c>
      <c r="K213" s="154">
        <f t="shared" ca="1" si="44"/>
        <v>0</v>
      </c>
      <c r="L213" s="154">
        <f t="shared" ca="1" si="44"/>
        <v>0</v>
      </c>
      <c r="M213" s="154">
        <f t="shared" ca="1" si="44"/>
        <v>0</v>
      </c>
      <c r="N213" s="154">
        <f t="shared" ca="1" si="44"/>
        <v>0</v>
      </c>
      <c r="O213" s="154">
        <f t="shared" ca="1" si="44"/>
        <v>0</v>
      </c>
      <c r="P213" s="154">
        <f t="shared" ca="1" si="44"/>
        <v>0</v>
      </c>
      <c r="Q213" s="154">
        <f t="shared" ca="1" si="44"/>
        <v>0</v>
      </c>
      <c r="R213" s="154">
        <f t="shared" ca="1" si="44"/>
        <v>0</v>
      </c>
      <c r="S213" s="154">
        <f t="shared" ca="1" si="44"/>
        <v>0</v>
      </c>
      <c r="T213" s="154">
        <f t="shared" ca="1" si="44"/>
        <v>0</v>
      </c>
      <c r="U213" s="154">
        <f t="shared" ca="1" si="44"/>
        <v>0</v>
      </c>
      <c r="V213" s="154">
        <f t="shared" ca="1" si="44"/>
        <v>0</v>
      </c>
      <c r="W213" s="154">
        <f t="shared" ca="1" si="44"/>
        <v>0</v>
      </c>
      <c r="X213" s="154">
        <f t="shared" ca="1" si="44"/>
        <v>0</v>
      </c>
      <c r="Y213" s="154" t="str">
        <f t="shared" si="44"/>
        <v/>
      </c>
      <c r="Z213" s="154" t="str">
        <f t="shared" si="44"/>
        <v/>
      </c>
      <c r="AA213" s="154" t="str">
        <f t="shared" si="44"/>
        <v/>
      </c>
      <c r="AB213" s="154" t="str">
        <f t="shared" si="44"/>
        <v/>
      </c>
      <c r="AC213" s="154" t="str">
        <f t="shared" si="44"/>
        <v/>
      </c>
      <c r="AD213" s="154" t="str">
        <f t="shared" si="44"/>
        <v/>
      </c>
      <c r="AE213" s="154" t="str">
        <f t="shared" si="44"/>
        <v/>
      </c>
      <c r="AF213" s="154" t="str">
        <f t="shared" si="44"/>
        <v/>
      </c>
      <c r="AG213" s="154" t="str">
        <f t="shared" si="44"/>
        <v/>
      </c>
      <c r="AH213" s="154" t="str">
        <f t="shared" si="44"/>
        <v/>
      </c>
      <c r="AI213" s="154" t="str">
        <f t="shared" si="44"/>
        <v/>
      </c>
      <c r="AJ213" s="154" t="str">
        <f t="shared" si="44"/>
        <v/>
      </c>
      <c r="AK213" s="154" t="str">
        <f t="shared" ref="AK213:BL213" si="45">IF(AK206&lt;=analysis_period,$G$195,"")</f>
        <v/>
      </c>
      <c r="AL213" s="154" t="str">
        <f t="shared" si="45"/>
        <v/>
      </c>
      <c r="AM213" s="154" t="str">
        <f t="shared" si="45"/>
        <v/>
      </c>
      <c r="AN213" s="154" t="str">
        <f t="shared" si="45"/>
        <v/>
      </c>
      <c r="AO213" s="154" t="str">
        <f t="shared" si="45"/>
        <v/>
      </c>
      <c r="AP213" s="154" t="str">
        <f t="shared" si="45"/>
        <v/>
      </c>
      <c r="AQ213" s="154" t="str">
        <f t="shared" si="45"/>
        <v/>
      </c>
      <c r="AR213" s="154" t="str">
        <f t="shared" si="45"/>
        <v/>
      </c>
      <c r="AS213" s="154" t="str">
        <f t="shared" si="45"/>
        <v/>
      </c>
      <c r="AT213" s="154" t="str">
        <f t="shared" si="45"/>
        <v/>
      </c>
      <c r="AU213" s="154" t="str">
        <f t="shared" si="45"/>
        <v/>
      </c>
      <c r="AV213" s="154" t="str">
        <f t="shared" si="45"/>
        <v/>
      </c>
      <c r="AW213" s="154" t="str">
        <f t="shared" si="45"/>
        <v/>
      </c>
      <c r="AX213" s="154" t="str">
        <f t="shared" si="45"/>
        <v/>
      </c>
      <c r="AY213" s="154" t="str">
        <f t="shared" si="45"/>
        <v/>
      </c>
      <c r="AZ213" s="154" t="str">
        <f t="shared" si="45"/>
        <v/>
      </c>
      <c r="BA213" s="154" t="str">
        <f t="shared" si="45"/>
        <v/>
      </c>
      <c r="BB213" s="154" t="str">
        <f t="shared" si="45"/>
        <v/>
      </c>
      <c r="BC213" s="154" t="str">
        <f t="shared" si="45"/>
        <v/>
      </c>
      <c r="BD213" s="154" t="str">
        <f t="shared" si="45"/>
        <v/>
      </c>
      <c r="BE213" s="154" t="str">
        <f t="shared" si="45"/>
        <v/>
      </c>
      <c r="BF213" s="154" t="str">
        <f t="shared" si="45"/>
        <v/>
      </c>
      <c r="BG213" s="154" t="str">
        <f t="shared" si="45"/>
        <v/>
      </c>
      <c r="BH213" s="154" t="str">
        <f t="shared" si="45"/>
        <v/>
      </c>
      <c r="BI213" s="154" t="str">
        <f t="shared" si="45"/>
        <v/>
      </c>
      <c r="BJ213" s="154" t="str">
        <f t="shared" si="45"/>
        <v/>
      </c>
      <c r="BK213" s="154" t="str">
        <f t="shared" si="45"/>
        <v/>
      </c>
      <c r="BL213" s="155" t="str">
        <f t="shared" si="45"/>
        <v/>
      </c>
    </row>
    <row r="214" spans="3:64">
      <c r="D214" s="35"/>
      <c r="E214" s="35"/>
      <c r="F214" s="35"/>
      <c r="G214" s="35"/>
      <c r="H214" s="35"/>
      <c r="I214" s="35"/>
      <c r="J214" s="35"/>
      <c r="K214" s="35"/>
      <c r="L214" s="35"/>
      <c r="M214" s="35"/>
      <c r="N214" s="35"/>
      <c r="O214" s="35"/>
      <c r="P214" s="35"/>
      <c r="Q214" s="35"/>
      <c r="R214" s="35"/>
      <c r="S214" s="35"/>
    </row>
    <row r="215" spans="3:64">
      <c r="C215" s="10" t="s">
        <v>230</v>
      </c>
      <c r="D215" s="35"/>
      <c r="E215" s="35"/>
      <c r="F215" s="35"/>
      <c r="G215" s="35"/>
      <c r="H215" s="35"/>
      <c r="I215" s="35"/>
      <c r="J215" s="35"/>
      <c r="K215" s="35"/>
      <c r="L215" s="35"/>
      <c r="M215" s="35"/>
      <c r="N215" s="35"/>
      <c r="O215" s="35"/>
      <c r="P215" s="35"/>
      <c r="Q215" s="35"/>
      <c r="R215" s="35"/>
      <c r="S215" s="35"/>
    </row>
    <row r="216" spans="3:64">
      <c r="C216" s="27" t="s">
        <v>258</v>
      </c>
      <c r="D216" s="153"/>
      <c r="E216" s="154">
        <f t="shared" ref="E216:AJ216" ca="1" si="46">IF(E206&lt;=analysis_period,SUM(E207,E208,E209,E211,E212,E213),"")</f>
        <v>24959463.295696065</v>
      </c>
      <c r="F216" s="154">
        <f t="shared" ca="1" si="46"/>
        <v>24959463.295696065</v>
      </c>
      <c r="G216" s="154">
        <f t="shared" ca="1" si="46"/>
        <v>24959463.295696065</v>
      </c>
      <c r="H216" s="154">
        <f t="shared" ca="1" si="46"/>
        <v>24959463.295696065</v>
      </c>
      <c r="I216" s="154">
        <f t="shared" ca="1" si="46"/>
        <v>24959463.295696065</v>
      </c>
      <c r="J216" s="154">
        <f t="shared" ca="1" si="46"/>
        <v>24959463.295696065</v>
      </c>
      <c r="K216" s="154">
        <f t="shared" ca="1" si="46"/>
        <v>24959463.295696065</v>
      </c>
      <c r="L216" s="154">
        <f t="shared" ca="1" si="46"/>
        <v>24959463.295696065</v>
      </c>
      <c r="M216" s="154">
        <f t="shared" ca="1" si="46"/>
        <v>24959463.295696065</v>
      </c>
      <c r="N216" s="154">
        <f t="shared" ca="1" si="46"/>
        <v>24959463.295696065</v>
      </c>
      <c r="O216" s="154">
        <f t="shared" ca="1" si="46"/>
        <v>24959463.295696065</v>
      </c>
      <c r="P216" s="154">
        <f t="shared" ca="1" si="46"/>
        <v>24959463.295696065</v>
      </c>
      <c r="Q216" s="154">
        <f t="shared" ca="1" si="46"/>
        <v>24959463.295696065</v>
      </c>
      <c r="R216" s="154">
        <f t="shared" ca="1" si="46"/>
        <v>24959463.295696065</v>
      </c>
      <c r="S216" s="154">
        <f t="shared" ca="1" si="46"/>
        <v>24959463.295696065</v>
      </c>
      <c r="T216" s="154">
        <f t="shared" ca="1" si="46"/>
        <v>24959463.295696065</v>
      </c>
      <c r="U216" s="154">
        <f t="shared" ca="1" si="46"/>
        <v>24959463.295696065</v>
      </c>
      <c r="V216" s="154">
        <f t="shared" ca="1" si="46"/>
        <v>24959463.295696065</v>
      </c>
      <c r="W216" s="154">
        <f t="shared" ca="1" si="46"/>
        <v>24959463.295696065</v>
      </c>
      <c r="X216" s="154">
        <f t="shared" ca="1" si="46"/>
        <v>24959463.295696065</v>
      </c>
      <c r="Y216" s="154" t="str">
        <f t="shared" si="46"/>
        <v/>
      </c>
      <c r="Z216" s="154" t="str">
        <f t="shared" si="46"/>
        <v/>
      </c>
      <c r="AA216" s="154" t="str">
        <f t="shared" si="46"/>
        <v/>
      </c>
      <c r="AB216" s="154" t="str">
        <f t="shared" si="46"/>
        <v/>
      </c>
      <c r="AC216" s="154" t="str">
        <f t="shared" si="46"/>
        <v/>
      </c>
      <c r="AD216" s="154" t="str">
        <f t="shared" si="46"/>
        <v/>
      </c>
      <c r="AE216" s="154" t="str">
        <f t="shared" si="46"/>
        <v/>
      </c>
      <c r="AF216" s="154" t="str">
        <f t="shared" si="46"/>
        <v/>
      </c>
      <c r="AG216" s="154" t="str">
        <f t="shared" si="46"/>
        <v/>
      </c>
      <c r="AH216" s="154" t="str">
        <f t="shared" si="46"/>
        <v/>
      </c>
      <c r="AI216" s="154" t="str">
        <f t="shared" si="46"/>
        <v/>
      </c>
      <c r="AJ216" s="154" t="str">
        <f t="shared" si="46"/>
        <v/>
      </c>
      <c r="AK216" s="154" t="str">
        <f t="shared" ref="AK216:BL216" si="47">IF(AK206&lt;=analysis_period,SUM(AK207,AK208,AK209,AK211,AK212,AK213),"")</f>
        <v/>
      </c>
      <c r="AL216" s="154" t="str">
        <f t="shared" si="47"/>
        <v/>
      </c>
      <c r="AM216" s="154" t="str">
        <f t="shared" si="47"/>
        <v/>
      </c>
      <c r="AN216" s="154" t="str">
        <f t="shared" si="47"/>
        <v/>
      </c>
      <c r="AO216" s="154" t="str">
        <f t="shared" si="47"/>
        <v/>
      </c>
      <c r="AP216" s="154" t="str">
        <f t="shared" si="47"/>
        <v/>
      </c>
      <c r="AQ216" s="154" t="str">
        <f t="shared" si="47"/>
        <v/>
      </c>
      <c r="AR216" s="154" t="str">
        <f t="shared" si="47"/>
        <v/>
      </c>
      <c r="AS216" s="154" t="str">
        <f t="shared" si="47"/>
        <v/>
      </c>
      <c r="AT216" s="154" t="str">
        <f t="shared" si="47"/>
        <v/>
      </c>
      <c r="AU216" s="154" t="str">
        <f t="shared" si="47"/>
        <v/>
      </c>
      <c r="AV216" s="154" t="str">
        <f t="shared" si="47"/>
        <v/>
      </c>
      <c r="AW216" s="154" t="str">
        <f t="shared" si="47"/>
        <v/>
      </c>
      <c r="AX216" s="154" t="str">
        <f t="shared" si="47"/>
        <v/>
      </c>
      <c r="AY216" s="154" t="str">
        <f t="shared" si="47"/>
        <v/>
      </c>
      <c r="AZ216" s="154" t="str">
        <f t="shared" si="47"/>
        <v/>
      </c>
      <c r="BA216" s="154" t="str">
        <f t="shared" si="47"/>
        <v/>
      </c>
      <c r="BB216" s="154" t="str">
        <f t="shared" si="47"/>
        <v/>
      </c>
      <c r="BC216" s="154" t="str">
        <f t="shared" si="47"/>
        <v/>
      </c>
      <c r="BD216" s="154" t="str">
        <f t="shared" si="47"/>
        <v/>
      </c>
      <c r="BE216" s="154" t="str">
        <f t="shared" si="47"/>
        <v/>
      </c>
      <c r="BF216" s="154" t="str">
        <f t="shared" si="47"/>
        <v/>
      </c>
      <c r="BG216" s="154" t="str">
        <f t="shared" si="47"/>
        <v/>
      </c>
      <c r="BH216" s="154" t="str">
        <f t="shared" si="47"/>
        <v/>
      </c>
      <c r="BI216" s="154" t="str">
        <f t="shared" si="47"/>
        <v/>
      </c>
      <c r="BJ216" s="154" t="str">
        <f t="shared" si="47"/>
        <v/>
      </c>
      <c r="BK216" s="154" t="str">
        <f t="shared" si="47"/>
        <v/>
      </c>
      <c r="BL216" s="154" t="str">
        <f t="shared" si="47"/>
        <v/>
      </c>
    </row>
    <row r="217" spans="3:64">
      <c r="C217" s="27" t="s">
        <v>271</v>
      </c>
      <c r="D217" s="107"/>
      <c r="E217" s="108">
        <f t="shared" ref="E217:AJ217" ca="1" si="48">IF(E206&lt;=analysis_period,SUM(E207,E208,E210,E211,E212,E213),"")</f>
        <v>20579463.295696061</v>
      </c>
      <c r="F217" s="108">
        <f t="shared" ca="1" si="48"/>
        <v>20579463.295696061</v>
      </c>
      <c r="G217" s="108">
        <f t="shared" ca="1" si="48"/>
        <v>20579463.295696061</v>
      </c>
      <c r="H217" s="108">
        <f t="shared" ca="1" si="48"/>
        <v>20579463.295696061</v>
      </c>
      <c r="I217" s="108">
        <f t="shared" ca="1" si="48"/>
        <v>20579463.295696061</v>
      </c>
      <c r="J217" s="108">
        <f t="shared" ca="1" si="48"/>
        <v>20579463.295696061</v>
      </c>
      <c r="K217" s="108">
        <f t="shared" ca="1" si="48"/>
        <v>20579463.295696061</v>
      </c>
      <c r="L217" s="108">
        <f t="shared" ca="1" si="48"/>
        <v>20579463.295696061</v>
      </c>
      <c r="M217" s="108">
        <f t="shared" ca="1" si="48"/>
        <v>20579463.295696061</v>
      </c>
      <c r="N217" s="108">
        <f t="shared" ca="1" si="48"/>
        <v>20579463.295696061</v>
      </c>
      <c r="O217" s="108">
        <f t="shared" ca="1" si="48"/>
        <v>20579463.295696061</v>
      </c>
      <c r="P217" s="108">
        <f t="shared" ca="1" si="48"/>
        <v>20579463.295696061</v>
      </c>
      <c r="Q217" s="108">
        <f t="shared" ca="1" si="48"/>
        <v>20579463.295696061</v>
      </c>
      <c r="R217" s="108">
        <f t="shared" ca="1" si="48"/>
        <v>20579463.295696061</v>
      </c>
      <c r="S217" s="108">
        <f t="shared" ca="1" si="48"/>
        <v>20579463.295696061</v>
      </c>
      <c r="T217" s="108">
        <f t="shared" ca="1" si="48"/>
        <v>20579463.295696061</v>
      </c>
      <c r="U217" s="108">
        <f t="shared" ca="1" si="48"/>
        <v>20579463.295696061</v>
      </c>
      <c r="V217" s="108">
        <f t="shared" ca="1" si="48"/>
        <v>20579463.295696061</v>
      </c>
      <c r="W217" s="108">
        <f t="shared" ca="1" si="48"/>
        <v>20579463.295696061</v>
      </c>
      <c r="X217" s="108">
        <f t="shared" ca="1" si="48"/>
        <v>20579463.295696061</v>
      </c>
      <c r="Y217" s="108" t="str">
        <f t="shared" si="48"/>
        <v/>
      </c>
      <c r="Z217" s="108" t="str">
        <f t="shared" si="48"/>
        <v/>
      </c>
      <c r="AA217" s="108" t="str">
        <f t="shared" si="48"/>
        <v/>
      </c>
      <c r="AB217" s="108" t="str">
        <f t="shared" si="48"/>
        <v/>
      </c>
      <c r="AC217" s="108" t="str">
        <f t="shared" si="48"/>
        <v/>
      </c>
      <c r="AD217" s="108" t="str">
        <f t="shared" si="48"/>
        <v/>
      </c>
      <c r="AE217" s="108" t="str">
        <f t="shared" si="48"/>
        <v/>
      </c>
      <c r="AF217" s="108" t="str">
        <f t="shared" si="48"/>
        <v/>
      </c>
      <c r="AG217" s="108" t="str">
        <f t="shared" si="48"/>
        <v/>
      </c>
      <c r="AH217" s="108" t="str">
        <f t="shared" si="48"/>
        <v/>
      </c>
      <c r="AI217" s="108" t="str">
        <f t="shared" si="48"/>
        <v/>
      </c>
      <c r="AJ217" s="108" t="str">
        <f t="shared" si="48"/>
        <v/>
      </c>
      <c r="AK217" s="108" t="str">
        <f t="shared" ref="AK217:BL217" si="49">IF(AK206&lt;=analysis_period,SUM(AK207,AK208,AK210,AK211,AK212,AK213),"")</f>
        <v/>
      </c>
      <c r="AL217" s="108" t="str">
        <f t="shared" si="49"/>
        <v/>
      </c>
      <c r="AM217" s="108" t="str">
        <f t="shared" si="49"/>
        <v/>
      </c>
      <c r="AN217" s="108" t="str">
        <f t="shared" si="49"/>
        <v/>
      </c>
      <c r="AO217" s="108" t="str">
        <f t="shared" si="49"/>
        <v/>
      </c>
      <c r="AP217" s="108" t="str">
        <f t="shared" si="49"/>
        <v/>
      </c>
      <c r="AQ217" s="108" t="str">
        <f t="shared" si="49"/>
        <v/>
      </c>
      <c r="AR217" s="108" t="str">
        <f t="shared" si="49"/>
        <v/>
      </c>
      <c r="AS217" s="108" t="str">
        <f t="shared" si="49"/>
        <v/>
      </c>
      <c r="AT217" s="108" t="str">
        <f t="shared" si="49"/>
        <v/>
      </c>
      <c r="AU217" s="108" t="str">
        <f t="shared" si="49"/>
        <v/>
      </c>
      <c r="AV217" s="108" t="str">
        <f t="shared" si="49"/>
        <v/>
      </c>
      <c r="AW217" s="108" t="str">
        <f t="shared" si="49"/>
        <v/>
      </c>
      <c r="AX217" s="108" t="str">
        <f t="shared" si="49"/>
        <v/>
      </c>
      <c r="AY217" s="108" t="str">
        <f t="shared" si="49"/>
        <v/>
      </c>
      <c r="AZ217" s="108" t="str">
        <f t="shared" si="49"/>
        <v/>
      </c>
      <c r="BA217" s="108" t="str">
        <f t="shared" si="49"/>
        <v/>
      </c>
      <c r="BB217" s="108" t="str">
        <f t="shared" si="49"/>
        <v/>
      </c>
      <c r="BC217" s="108" t="str">
        <f t="shared" si="49"/>
        <v/>
      </c>
      <c r="BD217" s="108" t="str">
        <f t="shared" si="49"/>
        <v/>
      </c>
      <c r="BE217" s="108" t="str">
        <f t="shared" si="49"/>
        <v/>
      </c>
      <c r="BF217" s="108" t="str">
        <f t="shared" si="49"/>
        <v/>
      </c>
      <c r="BG217" s="108" t="str">
        <f t="shared" si="49"/>
        <v/>
      </c>
      <c r="BH217" s="108" t="str">
        <f t="shared" si="49"/>
        <v/>
      </c>
      <c r="BI217" s="108" t="str">
        <f t="shared" si="49"/>
        <v/>
      </c>
      <c r="BJ217" s="108" t="str">
        <f t="shared" si="49"/>
        <v/>
      </c>
      <c r="BK217" s="108" t="str">
        <f t="shared" si="49"/>
        <v/>
      </c>
      <c r="BL217" s="108" t="str">
        <f t="shared" si="49"/>
        <v/>
      </c>
    </row>
    <row r="218" spans="3:64" ht="17.5">
      <c r="C218" s="9"/>
    </row>
    <row r="219" spans="3:64" ht="17.5">
      <c r="C219" s="48" t="s">
        <v>231</v>
      </c>
      <c r="D219" s="15"/>
      <c r="E219" s="15"/>
      <c r="F219" s="15"/>
      <c r="G219" s="16"/>
    </row>
    <row r="220" spans="3:64">
      <c r="C220" s="22"/>
      <c r="D220" s="1" t="s">
        <v>21</v>
      </c>
      <c r="G220" s="66">
        <f ca="1">NPV(WACC_real,E216:BL216)</f>
        <v>275228656.65770477</v>
      </c>
      <c r="H220" s="35"/>
      <c r="I220" s="72"/>
    </row>
    <row r="221" spans="3:64">
      <c r="C221" s="17"/>
      <c r="D221" s="18" t="s">
        <v>23</v>
      </c>
      <c r="E221" s="18"/>
      <c r="F221" s="18"/>
      <c r="G221" s="66">
        <f ca="1">NPV(WACC_real,E217:BL217)</f>
        <v>226930281.73356843</v>
      </c>
    </row>
  </sheetData>
  <mergeCells count="45">
    <mergeCell ref="D153:F153"/>
    <mergeCell ref="D154:F154"/>
    <mergeCell ref="D151:F151"/>
    <mergeCell ref="D152:F152"/>
    <mergeCell ref="E38:I38"/>
    <mergeCell ref="E39:I39"/>
    <mergeCell ref="E40:I40"/>
    <mergeCell ref="E106:H107"/>
    <mergeCell ref="I106:I107"/>
    <mergeCell ref="E98:H98"/>
    <mergeCell ref="E105:H105"/>
    <mergeCell ref="E104:H104"/>
    <mergeCell ref="E102:H102"/>
    <mergeCell ref="E101:H101"/>
    <mergeCell ref="E100:H100"/>
    <mergeCell ref="D64:D71"/>
    <mergeCell ref="M19:O19"/>
    <mergeCell ref="M20:O20"/>
    <mergeCell ref="M21:O21"/>
    <mergeCell ref="M22:O22"/>
    <mergeCell ref="C19:C28"/>
    <mergeCell ref="E28:H28"/>
    <mergeCell ref="L19:L20"/>
    <mergeCell ref="L21:L22"/>
    <mergeCell ref="C8:I11"/>
    <mergeCell ref="C98:C105"/>
    <mergeCell ref="E32:H32"/>
    <mergeCell ref="E33:H33"/>
    <mergeCell ref="E97:H97"/>
    <mergeCell ref="E19:H19"/>
    <mergeCell ref="E24:H24"/>
    <mergeCell ref="E23:H23"/>
    <mergeCell ref="E22:H22"/>
    <mergeCell ref="E20:H20"/>
    <mergeCell ref="E21:H21"/>
    <mergeCell ref="E26:H26"/>
    <mergeCell ref="E99:H99"/>
    <mergeCell ref="E25:H25"/>
    <mergeCell ref="E34:H34"/>
    <mergeCell ref="C32:C35"/>
    <mergeCell ref="E103:H103"/>
    <mergeCell ref="C38:C42"/>
    <mergeCell ref="C45:J46"/>
    <mergeCell ref="C77:N78"/>
    <mergeCell ref="C56:N59"/>
  </mergeCells>
  <phoneticPr fontId="14" type="noConversion"/>
  <conditionalFormatting sqref="E49:BL49 E64:BL71 E82:BL87">
    <cfRule type="expression" dxfId="1" priority="9">
      <formula>E$63&lt;= $J$28</formula>
    </cfRule>
  </conditionalFormatting>
  <conditionalFormatting sqref="G60">
    <cfRule type="cellIs" dxfId="0" priority="2" stopIfTrue="1" operator="notEqual">
      <formula>""</formula>
    </cfRule>
  </conditionalFormatting>
  <dataValidations count="10">
    <dataValidation type="custom" allowBlank="1" showErrorMessage="1" errorTitle="Rated Power Capacity (MW)" error="Rated Power Capacity (MW) must be a value greater than 0." promptTitle="Rated Power Capacity (MW)" prompt="Enter the rated power capacity of the storage system in megawatts (MW)" sqref="J20" xr:uid="{6048F5A6-E402-4F27-92CC-EB5EF6F33406}">
      <formula1>J20&gt;0</formula1>
    </dataValidation>
    <dataValidation type="custom" allowBlank="1" showInputMessage="1" showErrorMessage="1" errorTitle="Rated Storage Duration" error="Rated Storage Duration must be a value greater than 0." sqref="J21" xr:uid="{3F2D93C5-B5D9-4D12-A196-5C9EEC66DB6D}">
      <formula1>J21&gt;0</formula1>
    </dataValidation>
    <dataValidation type="decimal" allowBlank="1" showInputMessage="1" showErrorMessage="1" errorTitle="Round Trip Efficiency" error="Round trip efficiency must be a value between 0 and 1" sqref="J22" xr:uid="{BA5C118C-311D-42B4-837E-07AA11F1B65F}">
      <formula1>0</formula1>
      <formula2>1</formula2>
    </dataValidation>
    <dataValidation type="decimal" allowBlank="1" showInputMessage="1" showErrorMessage="1" errorTitle="Depth of Discharge" error="Depth of discharge must be a value between 0 and 1" sqref="J23" xr:uid="{BE9F8685-B95B-4682-BEFD-0227540A26C6}">
      <formula1>0</formula1>
      <formula2>1</formula2>
    </dataValidation>
    <dataValidation type="custom" allowBlank="1" showInputMessage="1" showErrorMessage="1" errorTitle="Rest time after charge" error="Rest time must be 0 hours or greater" sqref="J24" xr:uid="{659699C0-76D4-4F0A-A4FD-BB6E44D41091}">
      <formula1>J24&gt;=0</formula1>
    </dataValidation>
    <dataValidation type="custom" allowBlank="1" showInputMessage="1" showErrorMessage="1" errorTitle="Rest time after discharge" error="Rest time must be 0 hours or greater" sqref="J25" xr:uid="{63424CFD-0B01-4F86-887B-C20C7F6BF4AC}">
      <formula1>J25&gt;=0</formula1>
    </dataValidation>
    <dataValidation type="whole" errorStyle="warning" allowBlank="1" showInputMessage="1" showErrorMessage="1" errorTitle="Project life" error="WARNING: This workbook is currently configured to handle a project life up to 60 years. Setting a project life higher than 60 years will result in incorrect results. Proceed?" sqref="J28" xr:uid="{54848DCD-6FA3-49C5-AE05-7FCC232BA44B}">
      <formula1>1</formula1>
      <formula2>60</formula2>
    </dataValidation>
    <dataValidation type="custom" allowBlank="1" showInputMessage="1" showErrorMessage="1" errorTitle="Overnight capital cost" error="Overnight capital cost must be a positive value" sqref="J32" xr:uid="{ADEFC357-E266-403E-8E14-CFE753DF3815}">
      <formula1>J32&gt;=0</formula1>
    </dataValidation>
    <dataValidation type="custom" allowBlank="1" showInputMessage="1" showErrorMessage="1" errorTitle="Fixed O&amp;M" error="Fixed O&amp;M cannot be a negative value" sqref="J33" xr:uid="{799D83F8-25E1-40BE-85DA-1D9C5010888C}">
      <formula1>J33&gt;=0</formula1>
    </dataValidation>
    <dataValidation type="custom" allowBlank="1" showInputMessage="1" showErrorMessage="1" errorTitle="Variable O&amp;M" error="Variable O&amp;M cannot be a negative value" sqref="J34" xr:uid="{6D6BEA6D-69F3-4A92-9CE2-5DF74DB29D44}">
      <formula1>J34&gt;=0</formula1>
    </dataValidation>
  </dataValidations>
  <pageMargins left="0.7" right="0.7" top="0.75" bottom="0.75" header="0.3" footer="0.3"/>
  <pageSetup orientation="portrait" r:id="rId1"/>
  <ignoredErrors>
    <ignoredError sqref="G153" 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DC66E5DD-6811-4B2F-A40F-A45BD9AC5413}">
          <x14:formula1>
            <xm:f>'Assumptions &amp; Parameters'!$C$63:$C$64</xm:f>
          </x14:formula1>
          <xm:sqref>J38:J40</xm:sqref>
        </x14:dataValidation>
        <x14:dataValidation type="list" allowBlank="1" showInputMessage="1" showErrorMessage="1" xr:uid="{3847B2F9-FDF8-4E72-A441-4E796EA0E683}">
          <x14:formula1>
            <xm:f>'Assumptions &amp; Parameters'!$C$58:$C$60</xm:f>
          </x14:formula1>
          <xm:sqref>J19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3618-DDB0-477D-A343-68E0F1C92CA4}">
  <dimension ref="C4:K47"/>
  <sheetViews>
    <sheetView workbookViewId="0">
      <selection activeCell="B7" sqref="B7"/>
    </sheetView>
  </sheetViews>
  <sheetFormatPr defaultColWidth="8.83203125" defaultRowHeight="17"/>
  <cols>
    <col min="1" max="2" width="8.83203125" style="1"/>
    <col min="3" max="3" width="13.1640625" style="1" customWidth="1"/>
    <col min="4" max="4" width="30.1640625" style="103" customWidth="1"/>
    <col min="5" max="11" width="25.1640625" style="1" customWidth="1"/>
    <col min="12" max="12" width="85.6640625" style="1" customWidth="1"/>
    <col min="13" max="16384" width="8.83203125" style="1"/>
  </cols>
  <sheetData>
    <row r="4" spans="3:11" ht="25.5">
      <c r="C4" s="55" t="s">
        <v>4</v>
      </c>
    </row>
    <row r="5" spans="3:11" ht="17.5">
      <c r="C5" s="117" t="s">
        <v>204</v>
      </c>
      <c r="D5" s="117" t="s">
        <v>103</v>
      </c>
      <c r="E5" s="197" t="s">
        <v>104</v>
      </c>
      <c r="F5" s="198"/>
      <c r="G5" s="198"/>
      <c r="H5" s="198"/>
      <c r="I5" s="198"/>
      <c r="J5" s="198"/>
      <c r="K5" s="199"/>
    </row>
    <row r="6" spans="3:11" ht="17.75" customHeight="1">
      <c r="C6" s="112" t="s">
        <v>105</v>
      </c>
      <c r="D6" s="114" t="s">
        <v>214</v>
      </c>
      <c r="E6" s="196" t="s">
        <v>234</v>
      </c>
      <c r="F6" s="196"/>
      <c r="G6" s="196"/>
      <c r="H6" s="196"/>
      <c r="I6" s="196"/>
      <c r="J6" s="196"/>
      <c r="K6" s="196"/>
    </row>
    <row r="7" spans="3:11" ht="32.5" customHeight="1">
      <c r="C7" s="112" t="s">
        <v>106</v>
      </c>
      <c r="D7" s="114" t="s">
        <v>107</v>
      </c>
      <c r="E7" s="196" t="s">
        <v>235</v>
      </c>
      <c r="F7" s="196"/>
      <c r="G7" s="196"/>
      <c r="H7" s="196"/>
      <c r="I7" s="196"/>
      <c r="J7" s="196"/>
      <c r="K7" s="196"/>
    </row>
    <row r="8" spans="3:11" ht="15.5" customHeight="1">
      <c r="C8" s="112" t="s">
        <v>108</v>
      </c>
      <c r="D8" s="114" t="s">
        <v>215</v>
      </c>
      <c r="E8" s="193" t="s">
        <v>109</v>
      </c>
      <c r="F8" s="194"/>
      <c r="G8" s="194"/>
      <c r="H8" s="194"/>
      <c r="I8" s="194"/>
      <c r="J8" s="194"/>
      <c r="K8" s="195"/>
    </row>
    <row r="9" spans="3:11">
      <c r="C9" s="112"/>
      <c r="D9" s="114" t="s">
        <v>208</v>
      </c>
      <c r="E9" s="196" t="s">
        <v>110</v>
      </c>
      <c r="F9" s="196"/>
      <c r="G9" s="196"/>
      <c r="H9" s="196"/>
      <c r="I9" s="196"/>
      <c r="J9" s="196"/>
      <c r="K9" s="196"/>
    </row>
    <row r="10" spans="3:11">
      <c r="C10" s="112" t="s">
        <v>111</v>
      </c>
      <c r="D10" s="114" t="s">
        <v>216</v>
      </c>
      <c r="E10" s="196" t="s">
        <v>112</v>
      </c>
      <c r="F10" s="196"/>
      <c r="G10" s="196"/>
      <c r="H10" s="196"/>
      <c r="I10" s="196"/>
      <c r="J10" s="196"/>
      <c r="K10" s="196"/>
    </row>
    <row r="11" spans="3:11">
      <c r="C11" s="112" t="s">
        <v>113</v>
      </c>
      <c r="D11" s="114" t="s">
        <v>217</v>
      </c>
      <c r="E11" s="196" t="s">
        <v>114</v>
      </c>
      <c r="F11" s="196"/>
      <c r="G11" s="196"/>
      <c r="H11" s="196"/>
      <c r="I11" s="196"/>
      <c r="J11" s="196"/>
      <c r="K11" s="196"/>
    </row>
    <row r="12" spans="3:11">
      <c r="C12" s="112" t="s">
        <v>115</v>
      </c>
      <c r="D12" s="114" t="s">
        <v>116</v>
      </c>
      <c r="E12" s="196" t="s">
        <v>117</v>
      </c>
      <c r="F12" s="196"/>
      <c r="G12" s="196"/>
      <c r="H12" s="196"/>
      <c r="I12" s="196"/>
      <c r="J12" s="196"/>
      <c r="K12" s="196"/>
    </row>
    <row r="13" spans="3:11">
      <c r="C13" s="112"/>
      <c r="D13" s="114" t="s">
        <v>118</v>
      </c>
      <c r="E13" s="196" t="s">
        <v>119</v>
      </c>
      <c r="F13" s="196"/>
      <c r="G13" s="196"/>
      <c r="H13" s="196"/>
      <c r="I13" s="196"/>
      <c r="J13" s="196"/>
      <c r="K13" s="196"/>
    </row>
    <row r="14" spans="3:11" ht="30" customHeight="1">
      <c r="C14" s="112"/>
      <c r="D14" s="114" t="s">
        <v>262</v>
      </c>
      <c r="E14" s="193" t="s">
        <v>263</v>
      </c>
      <c r="F14" s="194"/>
      <c r="G14" s="194"/>
      <c r="H14" s="194"/>
      <c r="I14" s="194"/>
      <c r="J14" s="194"/>
      <c r="K14" s="195"/>
    </row>
    <row r="15" spans="3:11">
      <c r="C15" s="112" t="s">
        <v>120</v>
      </c>
      <c r="D15" s="114" t="s">
        <v>121</v>
      </c>
      <c r="E15" s="196" t="s">
        <v>122</v>
      </c>
      <c r="F15" s="196"/>
      <c r="G15" s="196"/>
      <c r="H15" s="196"/>
      <c r="I15" s="196"/>
      <c r="J15" s="196"/>
      <c r="K15" s="196"/>
    </row>
    <row r="16" spans="3:11">
      <c r="C16" s="112" t="s">
        <v>123</v>
      </c>
      <c r="D16" s="114" t="s">
        <v>124</v>
      </c>
      <c r="E16" s="196" t="s">
        <v>125</v>
      </c>
      <c r="F16" s="196"/>
      <c r="G16" s="196"/>
      <c r="H16" s="196"/>
      <c r="I16" s="196"/>
      <c r="J16" s="196"/>
      <c r="K16" s="196"/>
    </row>
    <row r="17" spans="3:11" ht="58.25" customHeight="1">
      <c r="C17" s="112"/>
      <c r="D17" s="114" t="s">
        <v>218</v>
      </c>
      <c r="E17" s="193" t="s">
        <v>247</v>
      </c>
      <c r="F17" s="194"/>
      <c r="G17" s="194"/>
      <c r="H17" s="194"/>
      <c r="I17" s="194"/>
      <c r="J17" s="194"/>
      <c r="K17" s="195"/>
    </row>
    <row r="18" spans="3:11">
      <c r="C18" s="112" t="s">
        <v>126</v>
      </c>
      <c r="D18" s="114" t="s">
        <v>127</v>
      </c>
      <c r="E18" s="196" t="s">
        <v>236</v>
      </c>
      <c r="F18" s="196"/>
      <c r="G18" s="196"/>
      <c r="H18" s="196"/>
      <c r="I18" s="196"/>
      <c r="J18" s="196"/>
      <c r="K18" s="196"/>
    </row>
    <row r="19" spans="3:11">
      <c r="C19" s="112"/>
      <c r="D19" s="114" t="s">
        <v>207</v>
      </c>
      <c r="E19" s="196" t="s">
        <v>128</v>
      </c>
      <c r="F19" s="196"/>
      <c r="G19" s="196"/>
      <c r="H19" s="196"/>
      <c r="I19" s="196"/>
      <c r="J19" s="196"/>
      <c r="K19" s="196"/>
    </row>
    <row r="20" spans="3:11">
      <c r="C20" s="112" t="s">
        <v>129</v>
      </c>
      <c r="D20" s="114" t="s">
        <v>130</v>
      </c>
      <c r="E20" s="196" t="s">
        <v>237</v>
      </c>
      <c r="F20" s="196"/>
      <c r="G20" s="196"/>
      <c r="H20" s="196"/>
      <c r="I20" s="196"/>
      <c r="J20" s="196"/>
      <c r="K20" s="196"/>
    </row>
    <row r="21" spans="3:11" ht="63.5" customHeight="1">
      <c r="C21" s="112"/>
      <c r="D21" s="114" t="s">
        <v>219</v>
      </c>
      <c r="E21" s="193" t="s">
        <v>249</v>
      </c>
      <c r="F21" s="194"/>
      <c r="G21" s="194"/>
      <c r="H21" s="194"/>
      <c r="I21" s="194"/>
      <c r="J21" s="194"/>
      <c r="K21" s="195"/>
    </row>
    <row r="22" spans="3:11">
      <c r="C22" s="112" t="s">
        <v>131</v>
      </c>
      <c r="D22" s="114" t="s">
        <v>220</v>
      </c>
      <c r="E22" s="196" t="s">
        <v>238</v>
      </c>
      <c r="F22" s="196"/>
      <c r="G22" s="196"/>
      <c r="H22" s="196"/>
      <c r="I22" s="196"/>
      <c r="J22" s="196"/>
      <c r="K22" s="196"/>
    </row>
    <row r="23" spans="3:11" ht="30.5" customHeight="1">
      <c r="C23" s="112" t="s">
        <v>132</v>
      </c>
      <c r="D23" s="114" t="s">
        <v>133</v>
      </c>
      <c r="E23" s="196" t="s">
        <v>134</v>
      </c>
      <c r="F23" s="196"/>
      <c r="G23" s="196"/>
      <c r="H23" s="196"/>
      <c r="I23" s="196"/>
      <c r="J23" s="196"/>
      <c r="K23" s="196"/>
    </row>
    <row r="24" spans="3:11">
      <c r="C24" s="112" t="s">
        <v>135</v>
      </c>
      <c r="D24" s="114" t="s">
        <v>136</v>
      </c>
      <c r="E24" s="196" t="s">
        <v>137</v>
      </c>
      <c r="F24" s="196"/>
      <c r="G24" s="196"/>
      <c r="H24" s="196"/>
      <c r="I24" s="196"/>
      <c r="J24" s="196"/>
      <c r="K24" s="196"/>
    </row>
    <row r="25" spans="3:11">
      <c r="C25" s="112" t="s">
        <v>138</v>
      </c>
      <c r="D25" s="114" t="s">
        <v>139</v>
      </c>
      <c r="E25" s="196" t="s">
        <v>239</v>
      </c>
      <c r="F25" s="196"/>
      <c r="G25" s="196"/>
      <c r="H25" s="196"/>
      <c r="I25" s="196"/>
      <c r="J25" s="196"/>
      <c r="K25" s="196"/>
    </row>
    <row r="26" spans="3:11">
      <c r="C26" s="112" t="s">
        <v>140</v>
      </c>
      <c r="D26" s="114" t="s">
        <v>221</v>
      </c>
      <c r="E26" s="196" t="s">
        <v>240</v>
      </c>
      <c r="F26" s="196"/>
      <c r="G26" s="196"/>
      <c r="H26" s="196"/>
      <c r="I26" s="196"/>
      <c r="J26" s="196"/>
      <c r="K26" s="196"/>
    </row>
    <row r="27" spans="3:11">
      <c r="C27" s="112" t="s">
        <v>141</v>
      </c>
      <c r="D27" s="114" t="s">
        <v>222</v>
      </c>
      <c r="E27" s="196" t="s">
        <v>142</v>
      </c>
      <c r="F27" s="196"/>
      <c r="G27" s="196"/>
      <c r="H27" s="196"/>
      <c r="I27" s="196"/>
      <c r="J27" s="196"/>
      <c r="K27" s="196"/>
    </row>
    <row r="28" spans="3:11">
      <c r="C28" s="112" t="s">
        <v>143</v>
      </c>
      <c r="D28" s="114" t="s">
        <v>144</v>
      </c>
      <c r="E28" s="196" t="s">
        <v>145</v>
      </c>
      <c r="F28" s="196"/>
      <c r="G28" s="196"/>
      <c r="H28" s="196"/>
      <c r="I28" s="196"/>
      <c r="J28" s="196"/>
      <c r="K28" s="196"/>
    </row>
    <row r="29" spans="3:11">
      <c r="C29" s="112" t="s">
        <v>146</v>
      </c>
      <c r="D29" s="114" t="s">
        <v>147</v>
      </c>
      <c r="E29" s="196" t="s">
        <v>148</v>
      </c>
      <c r="F29" s="196"/>
      <c r="G29" s="196"/>
      <c r="H29" s="196"/>
      <c r="I29" s="196"/>
      <c r="J29" s="196"/>
      <c r="K29" s="196"/>
    </row>
    <row r="30" spans="3:11">
      <c r="C30" s="112" t="s">
        <v>149</v>
      </c>
      <c r="D30" s="114" t="s">
        <v>150</v>
      </c>
      <c r="E30" s="196" t="s">
        <v>151</v>
      </c>
      <c r="F30" s="196"/>
      <c r="G30" s="196"/>
      <c r="H30" s="196"/>
      <c r="I30" s="196"/>
      <c r="J30" s="196"/>
      <c r="K30" s="196"/>
    </row>
    <row r="31" spans="3:11">
      <c r="C31" s="112" t="s">
        <v>152</v>
      </c>
      <c r="D31" s="114" t="s">
        <v>153</v>
      </c>
      <c r="E31" s="196" t="s">
        <v>154</v>
      </c>
      <c r="F31" s="196"/>
      <c r="G31" s="196"/>
      <c r="H31" s="196"/>
      <c r="I31" s="196"/>
      <c r="J31" s="196"/>
      <c r="K31" s="196"/>
    </row>
    <row r="32" spans="3:11" ht="32" customHeight="1">
      <c r="C32" s="112"/>
      <c r="D32" s="114" t="s">
        <v>223</v>
      </c>
      <c r="E32" s="193" t="s">
        <v>248</v>
      </c>
      <c r="F32" s="194"/>
      <c r="G32" s="194"/>
      <c r="H32" s="194"/>
      <c r="I32" s="194"/>
      <c r="J32" s="194"/>
      <c r="K32" s="195"/>
    </row>
    <row r="33" spans="3:11" ht="26.5" customHeight="1">
      <c r="C33" s="112" t="s">
        <v>155</v>
      </c>
      <c r="D33" s="114" t="s">
        <v>156</v>
      </c>
      <c r="E33" s="196" t="s">
        <v>157</v>
      </c>
      <c r="F33" s="196"/>
      <c r="G33" s="196"/>
      <c r="H33" s="196"/>
      <c r="I33" s="196"/>
      <c r="J33" s="196"/>
      <c r="K33" s="196"/>
    </row>
    <row r="34" spans="3:11">
      <c r="C34" s="112"/>
      <c r="D34" s="114" t="s">
        <v>224</v>
      </c>
      <c r="E34" s="196" t="s">
        <v>205</v>
      </c>
      <c r="F34" s="196"/>
      <c r="G34" s="196"/>
      <c r="H34" s="196"/>
      <c r="I34" s="196"/>
      <c r="J34" s="196"/>
      <c r="K34" s="196"/>
    </row>
    <row r="35" spans="3:11">
      <c r="C35" s="112"/>
      <c r="D35" s="114" t="s">
        <v>225</v>
      </c>
      <c r="E35" s="196" t="s">
        <v>206</v>
      </c>
      <c r="F35" s="196"/>
      <c r="G35" s="196"/>
      <c r="H35" s="196"/>
      <c r="I35" s="196"/>
      <c r="J35" s="196"/>
      <c r="K35" s="196"/>
    </row>
    <row r="36" spans="3:11">
      <c r="C36" s="112" t="s">
        <v>158</v>
      </c>
      <c r="D36" s="114" t="s">
        <v>159</v>
      </c>
      <c r="E36" s="196" t="s">
        <v>160</v>
      </c>
      <c r="F36" s="196"/>
      <c r="G36" s="196"/>
      <c r="H36" s="196"/>
      <c r="I36" s="196"/>
      <c r="J36" s="196"/>
      <c r="K36" s="196"/>
    </row>
    <row r="37" spans="3:11" ht="31" customHeight="1">
      <c r="C37" s="112" t="s">
        <v>161</v>
      </c>
      <c r="D37" s="114" t="s">
        <v>162</v>
      </c>
      <c r="E37" s="196" t="s">
        <v>241</v>
      </c>
      <c r="F37" s="196"/>
      <c r="G37" s="196"/>
      <c r="H37" s="196"/>
      <c r="I37" s="196"/>
      <c r="J37" s="196"/>
      <c r="K37" s="196"/>
    </row>
    <row r="38" spans="3:11">
      <c r="C38" s="112" t="s">
        <v>163</v>
      </c>
      <c r="D38" s="114" t="s">
        <v>164</v>
      </c>
      <c r="E38" s="196" t="s">
        <v>242</v>
      </c>
      <c r="F38" s="196"/>
      <c r="G38" s="196"/>
      <c r="H38" s="196"/>
      <c r="I38" s="196"/>
      <c r="J38" s="196"/>
      <c r="K38" s="196"/>
    </row>
    <row r="39" spans="3:11">
      <c r="C39" s="112" t="s">
        <v>165</v>
      </c>
      <c r="D39" s="114" t="s">
        <v>166</v>
      </c>
      <c r="E39" s="196" t="s">
        <v>243</v>
      </c>
      <c r="F39" s="196"/>
      <c r="G39" s="196"/>
      <c r="H39" s="196"/>
      <c r="I39" s="196"/>
      <c r="J39" s="196"/>
      <c r="K39" s="196"/>
    </row>
    <row r="40" spans="3:11" ht="18" customHeight="1">
      <c r="C40" s="112" t="s">
        <v>167</v>
      </c>
      <c r="D40" s="114" t="s">
        <v>168</v>
      </c>
      <c r="E40" s="196" t="s">
        <v>244</v>
      </c>
      <c r="F40" s="196"/>
      <c r="G40" s="196"/>
      <c r="H40" s="196"/>
      <c r="I40" s="196"/>
      <c r="J40" s="196"/>
      <c r="K40" s="196"/>
    </row>
    <row r="41" spans="3:11">
      <c r="C41" s="112" t="s">
        <v>169</v>
      </c>
      <c r="D41" s="114" t="s">
        <v>209</v>
      </c>
      <c r="E41" s="196" t="s">
        <v>170</v>
      </c>
      <c r="F41" s="196"/>
      <c r="G41" s="196"/>
      <c r="H41" s="196"/>
      <c r="I41" s="196"/>
      <c r="J41" s="196"/>
      <c r="K41" s="196"/>
    </row>
    <row r="42" spans="3:11" ht="29.75" customHeight="1">
      <c r="C42" s="113" t="s">
        <v>171</v>
      </c>
      <c r="D42" s="114" t="s">
        <v>172</v>
      </c>
      <c r="E42" s="196" t="s">
        <v>245</v>
      </c>
      <c r="F42" s="196"/>
      <c r="G42" s="196"/>
      <c r="H42" s="196"/>
      <c r="I42" s="196"/>
      <c r="J42" s="196"/>
      <c r="K42" s="196"/>
    </row>
    <row r="43" spans="3:11" ht="17.5">
      <c r="C43" s="113"/>
      <c r="D43" s="114" t="s">
        <v>264</v>
      </c>
      <c r="E43" s="193" t="s">
        <v>265</v>
      </c>
      <c r="F43" s="194"/>
      <c r="G43" s="194"/>
      <c r="H43" s="194"/>
      <c r="I43" s="194"/>
      <c r="J43" s="194"/>
      <c r="K43" s="195"/>
    </row>
    <row r="44" spans="3:11" ht="17.5" customHeight="1">
      <c r="C44" s="112" t="s">
        <v>173</v>
      </c>
      <c r="D44" s="114" t="s">
        <v>226</v>
      </c>
      <c r="E44" s="196" t="s">
        <v>174</v>
      </c>
      <c r="F44" s="196"/>
      <c r="G44" s="196"/>
      <c r="H44" s="196"/>
      <c r="I44" s="196"/>
      <c r="J44" s="196"/>
      <c r="K44" s="196"/>
    </row>
    <row r="47" spans="3:11" ht="25.5">
      <c r="C47" s="55"/>
    </row>
  </sheetData>
  <mergeCells count="40">
    <mergeCell ref="E10:K10"/>
    <mergeCell ref="E5:K5"/>
    <mergeCell ref="E32:K32"/>
    <mergeCell ref="E21:K21"/>
    <mergeCell ref="E17:K17"/>
    <mergeCell ref="E19:K19"/>
    <mergeCell ref="E18:K18"/>
    <mergeCell ref="E16:K16"/>
    <mergeCell ref="E15:K15"/>
    <mergeCell ref="E13:K13"/>
    <mergeCell ref="E25:K25"/>
    <mergeCell ref="E24:K24"/>
    <mergeCell ref="E23:K23"/>
    <mergeCell ref="E22:K22"/>
    <mergeCell ref="E28:K28"/>
    <mergeCell ref="E27:K27"/>
    <mergeCell ref="E11:K11"/>
    <mergeCell ref="E44:K44"/>
    <mergeCell ref="E42:K42"/>
    <mergeCell ref="E41:K41"/>
    <mergeCell ref="E40:K40"/>
    <mergeCell ref="E39:K39"/>
    <mergeCell ref="E14:K14"/>
    <mergeCell ref="E43:K43"/>
    <mergeCell ref="E8:K8"/>
    <mergeCell ref="E7:K7"/>
    <mergeCell ref="E6:K6"/>
    <mergeCell ref="E9:K9"/>
    <mergeCell ref="E38:K38"/>
    <mergeCell ref="E37:K37"/>
    <mergeCell ref="E36:K36"/>
    <mergeCell ref="E35:K35"/>
    <mergeCell ref="E34:K34"/>
    <mergeCell ref="E33:K33"/>
    <mergeCell ref="E31:K31"/>
    <mergeCell ref="E30:K30"/>
    <mergeCell ref="E20:K20"/>
    <mergeCell ref="E29:K29"/>
    <mergeCell ref="E26:K26"/>
    <mergeCell ref="E12:K12"/>
  </mergeCells>
  <phoneticPr fontId="2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D772A-BD85-4267-B106-C02D36F29286}">
  <dimension ref="C4:K64"/>
  <sheetViews>
    <sheetView zoomScale="143" workbookViewId="0">
      <selection activeCell="O18" sqref="O18"/>
    </sheetView>
  </sheetViews>
  <sheetFormatPr defaultColWidth="8.83203125" defaultRowHeight="17"/>
  <cols>
    <col min="1" max="3" width="8.83203125" style="1"/>
    <col min="4" max="4" width="8" style="1" customWidth="1"/>
    <col min="5" max="5" width="8.83203125" style="1"/>
    <col min="6" max="6" width="9.1640625" style="1" customWidth="1"/>
    <col min="7" max="8" width="8.83203125" style="1"/>
    <col min="9" max="9" width="11" style="1" customWidth="1"/>
    <col min="10" max="10" width="10.33203125" style="1" customWidth="1"/>
    <col min="11" max="11" width="20.33203125" style="1" bestFit="1" customWidth="1"/>
    <col min="12" max="16384" width="8.83203125" style="1"/>
  </cols>
  <sheetData>
    <row r="4" spans="3:11" ht="19" customHeight="1">
      <c r="C4" s="55" t="s">
        <v>5</v>
      </c>
    </row>
    <row r="5" spans="3:11" ht="16.5" customHeight="1">
      <c r="C5" s="55"/>
    </row>
    <row r="6" spans="3:11">
      <c r="C6" s="3" t="s">
        <v>175</v>
      </c>
      <c r="K6" s="3"/>
    </row>
    <row r="7" spans="3:11">
      <c r="F7" s="3" t="s">
        <v>176</v>
      </c>
      <c r="G7" s="3"/>
      <c r="H7" s="3"/>
      <c r="I7" s="3"/>
      <c r="J7" s="3" t="s">
        <v>14</v>
      </c>
    </row>
    <row r="8" spans="3:11">
      <c r="F8" s="200" t="s">
        <v>177</v>
      </c>
      <c r="G8" s="200"/>
      <c r="H8" s="200"/>
      <c r="I8" s="200"/>
      <c r="J8" s="80">
        <v>2.8000000000000001E-2</v>
      </c>
    </row>
    <row r="9" spans="3:11">
      <c r="F9" s="200" t="s">
        <v>178</v>
      </c>
      <c r="G9" s="200"/>
      <c r="H9" s="200"/>
      <c r="I9" s="200"/>
      <c r="J9" s="80">
        <v>0.08</v>
      </c>
    </row>
    <row r="10" spans="3:11">
      <c r="F10" s="200" t="s">
        <v>179</v>
      </c>
      <c r="G10" s="200"/>
      <c r="H10" s="200"/>
      <c r="I10" s="200"/>
      <c r="J10" s="80">
        <f>(1+J9)/(1+J8)-1</f>
        <v>5.058365758754868E-2</v>
      </c>
    </row>
    <row r="11" spans="3:11">
      <c r="F11" s="200" t="s">
        <v>180</v>
      </c>
      <c r="G11" s="200"/>
      <c r="H11" s="200"/>
      <c r="I11" s="200"/>
      <c r="J11" s="81">
        <v>0.13</v>
      </c>
    </row>
    <row r="12" spans="3:11">
      <c r="F12" s="200" t="s">
        <v>181</v>
      </c>
      <c r="G12" s="200"/>
      <c r="H12" s="200"/>
      <c r="I12" s="200"/>
      <c r="J12" s="80">
        <f>(1+J11)/(1+J8)-1</f>
        <v>9.9221789883268352E-2</v>
      </c>
    </row>
    <row r="13" spans="3:11">
      <c r="F13" s="200" t="s">
        <v>182</v>
      </c>
      <c r="G13" s="200"/>
      <c r="H13" s="200"/>
      <c r="I13" s="200"/>
      <c r="J13" s="82">
        <v>0.5</v>
      </c>
    </row>
    <row r="14" spans="3:11">
      <c r="F14" s="201" t="s">
        <v>183</v>
      </c>
      <c r="G14" s="201"/>
      <c r="H14" s="201"/>
      <c r="I14" s="201"/>
      <c r="J14" s="101">
        <v>0.25700000000000001</v>
      </c>
    </row>
    <row r="15" spans="3:11">
      <c r="F15" s="201" t="s">
        <v>184</v>
      </c>
      <c r="G15" s="201"/>
      <c r="H15" s="201"/>
      <c r="I15" s="201"/>
      <c r="J15" s="100">
        <v>8.3999999999999995E-3</v>
      </c>
      <c r="K15" s="99"/>
    </row>
    <row r="16" spans="3:11">
      <c r="F16" s="201" t="s">
        <v>185</v>
      </c>
      <c r="G16" s="201"/>
      <c r="H16" s="201"/>
      <c r="I16" s="201"/>
      <c r="J16" s="100">
        <v>4.0000000000000001E-3</v>
      </c>
    </row>
    <row r="17" spans="3:11">
      <c r="F17" s="170" t="s">
        <v>186</v>
      </c>
      <c r="G17" s="171"/>
      <c r="H17" s="171"/>
      <c r="I17" s="172"/>
      <c r="J17" s="80">
        <f>J13*J9*(1-J14)+(1-J13)*(J11)</f>
        <v>9.4719999999999999E-2</v>
      </c>
    </row>
    <row r="18" spans="3:11">
      <c r="F18" s="200" t="s">
        <v>187</v>
      </c>
      <c r="G18" s="200"/>
      <c r="H18" s="200"/>
      <c r="I18" s="200"/>
      <c r="J18" s="80">
        <f>(1+J17)/(1+J8)-1</f>
        <v>6.4902723735408507E-2</v>
      </c>
    </row>
    <row r="19" spans="3:11">
      <c r="F19" s="200" t="s">
        <v>188</v>
      </c>
      <c r="G19" s="200"/>
      <c r="H19" s="200"/>
      <c r="I19" s="200"/>
      <c r="J19" s="2">
        <v>0.03</v>
      </c>
    </row>
    <row r="20" spans="3:11">
      <c r="F20" s="200" t="s">
        <v>189</v>
      </c>
      <c r="G20" s="200"/>
      <c r="H20" s="200"/>
      <c r="I20" s="200"/>
      <c r="J20" s="2">
        <v>20</v>
      </c>
    </row>
    <row r="21" spans="3:11">
      <c r="F21" s="200" t="s">
        <v>210</v>
      </c>
      <c r="G21" s="200"/>
      <c r="H21" s="200"/>
      <c r="I21" s="200"/>
      <c r="J21" s="83">
        <v>0.02</v>
      </c>
    </row>
    <row r="22" spans="3:11">
      <c r="F22" s="44"/>
      <c r="G22" s="44"/>
      <c r="H22" s="44"/>
      <c r="I22" s="44"/>
      <c r="J22" s="79"/>
    </row>
    <row r="23" spans="3:11">
      <c r="C23" s="3" t="s">
        <v>190</v>
      </c>
      <c r="F23" s="44"/>
      <c r="G23" s="44"/>
      <c r="H23" s="44"/>
      <c r="I23" s="44"/>
    </row>
    <row r="24" spans="3:11">
      <c r="F24" s="3" t="s">
        <v>176</v>
      </c>
      <c r="J24" s="3" t="s">
        <v>14</v>
      </c>
    </row>
    <row r="25" spans="3:11">
      <c r="F25" s="2" t="s">
        <v>191</v>
      </c>
      <c r="G25" s="2"/>
      <c r="H25" s="2"/>
      <c r="I25" s="2"/>
      <c r="J25" s="131">
        <v>0.98</v>
      </c>
    </row>
    <row r="26" spans="3:11">
      <c r="F26" s="2" t="s">
        <v>192</v>
      </c>
      <c r="G26" s="2"/>
      <c r="H26" s="2"/>
      <c r="I26" s="2"/>
      <c r="J26" s="131">
        <v>0.98</v>
      </c>
      <c r="K26" s="116"/>
    </row>
    <row r="27" spans="3:11">
      <c r="F27" s="170" t="s">
        <v>193</v>
      </c>
      <c r="G27" s="171"/>
      <c r="H27" s="171"/>
      <c r="I27" s="172"/>
      <c r="J27" s="131">
        <v>0.98</v>
      </c>
      <c r="K27" s="116"/>
    </row>
    <row r="28" spans="3:11">
      <c r="F28" s="2" t="s">
        <v>194</v>
      </c>
      <c r="G28" s="2"/>
      <c r="H28" s="2"/>
      <c r="I28" s="2"/>
      <c r="J28" s="132">
        <v>0.98</v>
      </c>
      <c r="K28" s="116"/>
    </row>
    <row r="30" spans="3:11">
      <c r="C30" s="3" t="s">
        <v>195</v>
      </c>
    </row>
    <row r="32" spans="3:11">
      <c r="E32" s="14" t="s">
        <v>196</v>
      </c>
      <c r="F32" s="15"/>
      <c r="G32" s="15"/>
      <c r="H32" s="15"/>
      <c r="I32" s="15"/>
      <c r="J32" s="16"/>
    </row>
    <row r="33" spans="4:10">
      <c r="D33" s="20" t="s">
        <v>44</v>
      </c>
      <c r="E33" s="17">
        <v>3</v>
      </c>
      <c r="F33" s="18">
        <v>5</v>
      </c>
      <c r="G33" s="18">
        <v>7</v>
      </c>
      <c r="H33" s="18">
        <v>10</v>
      </c>
      <c r="I33" s="18">
        <v>15</v>
      </c>
      <c r="J33" s="19">
        <v>20</v>
      </c>
    </row>
    <row r="34" spans="4:10">
      <c r="D34" s="11">
        <v>1</v>
      </c>
      <c r="E34" s="21">
        <v>0.33329999999999999</v>
      </c>
      <c r="F34" s="15">
        <v>0.2</v>
      </c>
      <c r="G34" s="15">
        <v>0.1429</v>
      </c>
      <c r="H34" s="15">
        <v>0.1</v>
      </c>
      <c r="I34" s="15">
        <v>0.05</v>
      </c>
      <c r="J34" s="16">
        <v>3.7499999999999999E-2</v>
      </c>
    </row>
    <row r="35" spans="4:10">
      <c r="D35" s="12">
        <v>2</v>
      </c>
      <c r="E35" s="22">
        <v>0.44450000000000001</v>
      </c>
      <c r="F35" s="1">
        <v>0.32</v>
      </c>
      <c r="G35" s="1">
        <v>0.24490000000000001</v>
      </c>
      <c r="H35" s="1">
        <v>0.18</v>
      </c>
      <c r="I35" s="1">
        <v>9.5000000000000001E-2</v>
      </c>
      <c r="J35" s="23">
        <v>7.2190000000000004E-2</v>
      </c>
    </row>
    <row r="36" spans="4:10">
      <c r="D36" s="12">
        <v>3</v>
      </c>
      <c r="E36" s="22">
        <v>0.14810000000000001</v>
      </c>
      <c r="F36" s="1">
        <v>0.192</v>
      </c>
      <c r="G36" s="1">
        <v>0.1749</v>
      </c>
      <c r="H36" s="1">
        <v>0.14399999999999999</v>
      </c>
      <c r="I36" s="1">
        <v>8.5500000000000007E-2</v>
      </c>
      <c r="J36" s="23">
        <v>6.6769999999999996E-2</v>
      </c>
    </row>
    <row r="37" spans="4:10">
      <c r="D37" s="12">
        <v>4</v>
      </c>
      <c r="E37" s="22">
        <v>7.4099999999999999E-2</v>
      </c>
      <c r="F37" s="1">
        <v>0.1152</v>
      </c>
      <c r="G37" s="1">
        <v>0.1249</v>
      </c>
      <c r="H37" s="1">
        <v>0.1152</v>
      </c>
      <c r="I37" s="1">
        <v>7.6999999999999999E-2</v>
      </c>
      <c r="J37" s="23">
        <v>6.1769999999999999E-2</v>
      </c>
    </row>
    <row r="38" spans="4:10">
      <c r="D38" s="12">
        <v>5</v>
      </c>
      <c r="E38" s="22"/>
      <c r="F38" s="1">
        <v>0.1152</v>
      </c>
      <c r="G38" s="1">
        <v>8.9300000000000004E-2</v>
      </c>
      <c r="H38" s="1">
        <v>9.2200000000000004E-2</v>
      </c>
      <c r="I38" s="1">
        <v>6.93E-2</v>
      </c>
      <c r="J38" s="23">
        <v>5.713E-2</v>
      </c>
    </row>
    <row r="39" spans="4:10">
      <c r="D39" s="12">
        <v>6</v>
      </c>
      <c r="E39" s="22"/>
      <c r="F39" s="1">
        <v>5.7599999999999998E-2</v>
      </c>
      <c r="G39" s="1">
        <v>8.9200000000000002E-2</v>
      </c>
      <c r="H39" s="1">
        <v>7.3700000000000002E-2</v>
      </c>
      <c r="I39" s="1">
        <v>6.2300000000000001E-2</v>
      </c>
      <c r="J39" s="23">
        <v>5.2850000000000001E-2</v>
      </c>
    </row>
    <row r="40" spans="4:10">
      <c r="D40" s="12">
        <v>7</v>
      </c>
      <c r="E40" s="22"/>
      <c r="G40" s="1">
        <v>8.9300000000000004E-2</v>
      </c>
      <c r="H40" s="1">
        <v>6.5500000000000003E-2</v>
      </c>
      <c r="I40" s="1">
        <v>5.8999999999999997E-2</v>
      </c>
      <c r="J40" s="23">
        <v>4.888E-2</v>
      </c>
    </row>
    <row r="41" spans="4:10">
      <c r="D41" s="12">
        <v>8</v>
      </c>
      <c r="E41" s="22"/>
      <c r="G41" s="1">
        <v>4.4600000000000001E-2</v>
      </c>
      <c r="H41" s="1">
        <v>6.5500000000000003E-2</v>
      </c>
      <c r="I41" s="1">
        <v>5.8999999999999997E-2</v>
      </c>
      <c r="J41" s="23">
        <v>4.5220000000000003E-2</v>
      </c>
    </row>
    <row r="42" spans="4:10">
      <c r="D42" s="12">
        <v>9</v>
      </c>
      <c r="E42" s="22"/>
      <c r="H42" s="1">
        <v>6.5600000000000006E-2</v>
      </c>
      <c r="I42" s="1">
        <v>5.91E-2</v>
      </c>
      <c r="J42" s="23">
        <v>4.462E-2</v>
      </c>
    </row>
    <row r="43" spans="4:10">
      <c r="D43" s="12">
        <v>10</v>
      </c>
      <c r="E43" s="22"/>
      <c r="H43" s="1">
        <v>6.5500000000000003E-2</v>
      </c>
      <c r="I43" s="1">
        <v>5.8999999999999997E-2</v>
      </c>
      <c r="J43" s="23">
        <v>4.4609999999999997E-2</v>
      </c>
    </row>
    <row r="44" spans="4:10">
      <c r="D44" s="12">
        <v>11</v>
      </c>
      <c r="E44" s="22"/>
      <c r="H44" s="1">
        <v>3.2800000000000003E-2</v>
      </c>
      <c r="I44" s="1">
        <v>5.91E-2</v>
      </c>
      <c r="J44" s="23">
        <v>4.462E-2</v>
      </c>
    </row>
    <row r="45" spans="4:10">
      <c r="D45" s="12">
        <v>12</v>
      </c>
      <c r="E45" s="22"/>
      <c r="I45" s="1">
        <v>5.8999999999999997E-2</v>
      </c>
      <c r="J45" s="23">
        <v>4.4609999999999997E-2</v>
      </c>
    </row>
    <row r="46" spans="4:10">
      <c r="D46" s="12">
        <v>13</v>
      </c>
      <c r="E46" s="22"/>
      <c r="I46" s="1">
        <v>5.91E-2</v>
      </c>
      <c r="J46" s="23">
        <v>4.462E-2</v>
      </c>
    </row>
    <row r="47" spans="4:10">
      <c r="D47" s="12">
        <v>14</v>
      </c>
      <c r="E47" s="22"/>
      <c r="I47" s="1">
        <v>5.8999999999999997E-2</v>
      </c>
      <c r="J47" s="23">
        <v>4.4609999999999997E-2</v>
      </c>
    </row>
    <row r="48" spans="4:10">
      <c r="D48" s="12">
        <v>15</v>
      </c>
      <c r="E48" s="22"/>
      <c r="I48" s="1">
        <v>5.91E-2</v>
      </c>
      <c r="J48" s="23">
        <v>4.462E-2</v>
      </c>
    </row>
    <row r="49" spans="3:10">
      <c r="D49" s="12">
        <v>16</v>
      </c>
      <c r="E49" s="22"/>
      <c r="I49" s="1">
        <v>2.9499999999999998E-2</v>
      </c>
      <c r="J49" s="23">
        <v>4.4609999999999997E-2</v>
      </c>
    </row>
    <row r="50" spans="3:10">
      <c r="D50" s="12">
        <v>17</v>
      </c>
      <c r="E50" s="22"/>
      <c r="J50" s="23">
        <v>4.462E-2</v>
      </c>
    </row>
    <row r="51" spans="3:10">
      <c r="D51" s="12">
        <v>18</v>
      </c>
      <c r="E51" s="22"/>
      <c r="J51" s="23">
        <v>4.4609999999999997E-2</v>
      </c>
    </row>
    <row r="52" spans="3:10">
      <c r="D52" s="12">
        <v>19</v>
      </c>
      <c r="E52" s="22"/>
      <c r="J52" s="23">
        <v>4.462E-2</v>
      </c>
    </row>
    <row r="53" spans="3:10">
      <c r="D53" s="12">
        <v>20</v>
      </c>
      <c r="E53" s="22"/>
      <c r="J53" s="23">
        <v>4.4609999999999997E-2</v>
      </c>
    </row>
    <row r="54" spans="3:10">
      <c r="D54" s="13">
        <v>21</v>
      </c>
      <c r="E54" s="17"/>
      <c r="F54" s="18"/>
      <c r="G54" s="18"/>
      <c r="H54" s="18"/>
      <c r="I54" s="18"/>
      <c r="J54" s="19">
        <v>2.231E-2</v>
      </c>
    </row>
    <row r="55" spans="3:10">
      <c r="D55" s="10" t="s">
        <v>46</v>
      </c>
      <c r="E55" s="51">
        <f>NPV($J$17,E34:E54)</f>
        <v>0.83985127291691852</v>
      </c>
      <c r="F55" s="51">
        <f t="shared" ref="F55:J55" si="0">NPV($J$17,F34:F54)</f>
        <v>0.78301500629910681</v>
      </c>
      <c r="G55" s="51">
        <f>NPV($J$17,G34:G54)</f>
        <v>0.73281282777302525</v>
      </c>
      <c r="H55" s="51">
        <f t="shared" si="0"/>
        <v>0.66717351386754775</v>
      </c>
      <c r="I55" s="51">
        <f t="shared" si="0"/>
        <v>0.53270509960504009</v>
      </c>
      <c r="J55" s="51">
        <f t="shared" si="0"/>
        <v>0.45791341555036469</v>
      </c>
    </row>
    <row r="56" spans="3:10">
      <c r="D56" s="10"/>
      <c r="E56" s="24"/>
      <c r="F56" s="24"/>
      <c r="G56" s="24"/>
      <c r="H56" s="24"/>
      <c r="I56" s="24"/>
      <c r="J56" s="24"/>
    </row>
    <row r="57" spans="3:10">
      <c r="C57" s="3" t="s">
        <v>197</v>
      </c>
      <c r="D57" s="3"/>
      <c r="E57" s="3" t="s">
        <v>198</v>
      </c>
      <c r="F57" s="3"/>
      <c r="G57" s="3"/>
    </row>
    <row r="58" spans="3:10">
      <c r="C58" s="1" t="s">
        <v>17</v>
      </c>
      <c r="E58" s="1">
        <v>7</v>
      </c>
    </row>
    <row r="59" spans="3:10">
      <c r="C59" s="1" t="s">
        <v>199</v>
      </c>
      <c r="E59" s="1">
        <v>20</v>
      </c>
    </row>
    <row r="60" spans="3:10">
      <c r="C60" s="1" t="s">
        <v>200</v>
      </c>
      <c r="E60" s="1">
        <v>20</v>
      </c>
    </row>
    <row r="62" spans="3:10">
      <c r="C62" s="3" t="s">
        <v>246</v>
      </c>
    </row>
    <row r="63" spans="3:10">
      <c r="C63" s="1" t="s">
        <v>201</v>
      </c>
    </row>
    <row r="64" spans="3:10">
      <c r="C64" s="1" t="s">
        <v>41</v>
      </c>
    </row>
  </sheetData>
  <mergeCells count="15">
    <mergeCell ref="F27:I27"/>
    <mergeCell ref="F20:I20"/>
    <mergeCell ref="F21:I21"/>
    <mergeCell ref="F8:I8"/>
    <mergeCell ref="F19:I19"/>
    <mergeCell ref="F18:I18"/>
    <mergeCell ref="F16:I16"/>
    <mergeCell ref="F15:I15"/>
    <mergeCell ref="F14:I14"/>
    <mergeCell ref="F13:I13"/>
    <mergeCell ref="F12:I12"/>
    <mergeCell ref="F11:I11"/>
    <mergeCell ref="F10:I10"/>
    <mergeCell ref="F9:I9"/>
    <mergeCell ref="F17:I17"/>
  </mergeCells>
  <phoneticPr fontId="2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20</vt:i4>
      </vt:variant>
    </vt:vector>
  </HeadingPairs>
  <TitlesOfParts>
    <vt:vector size="24" baseType="lpstr">
      <vt:lpstr>Introduction</vt:lpstr>
      <vt:lpstr>LCOS Calculator</vt:lpstr>
      <vt:lpstr>Terms &amp; Abbreviations</vt:lpstr>
      <vt:lpstr>Assumptions &amp; Parameters</vt:lpstr>
      <vt:lpstr>analysis_period</vt:lpstr>
      <vt:lpstr>bidirectional_inverter_efficiency</vt:lpstr>
      <vt:lpstr>bidirectional_transformer_efficiency</vt:lpstr>
      <vt:lpstr>cost_of_equity_nominal</vt:lpstr>
      <vt:lpstr>cost_of_equity_real</vt:lpstr>
      <vt:lpstr>CRF_real</vt:lpstr>
      <vt:lpstr>debt_fraction</vt:lpstr>
      <vt:lpstr>electricity_cost</vt:lpstr>
      <vt:lpstr>inflation_rate</vt:lpstr>
      <vt:lpstr>insurance</vt:lpstr>
      <vt:lpstr>interest_rate_nominal</vt:lpstr>
      <vt:lpstr>interest_rate_real</vt:lpstr>
      <vt:lpstr>ITC</vt:lpstr>
      <vt:lpstr>property_tax</vt:lpstr>
      <vt:lpstr>PVD</vt:lpstr>
      <vt:lpstr>rectifier_efficiency</vt:lpstr>
      <vt:lpstr>tax_rate</vt:lpstr>
      <vt:lpstr>unidirectional_inverter_efficiency</vt:lpstr>
      <vt:lpstr>WACC_nominal</vt:lpstr>
      <vt:lpstr>WACC_real</vt:lpstr>
    </vt:vector>
  </TitlesOfParts>
  <Manager/>
  <Company>PNNL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ESGC LCOS Workbook</dc:title>
  <dc:subject/>
  <dc:creator/>
  <cp:keywords/>
  <dc:description/>
  <cp:lastModifiedBy>BS Oh</cp:lastModifiedBy>
  <cp:revision/>
  <dcterms:created xsi:type="dcterms:W3CDTF">2022-09-06T20:28:25Z</dcterms:created>
  <dcterms:modified xsi:type="dcterms:W3CDTF">2026-04-08T10:31:48Z</dcterms:modified>
  <cp:category/>
  <cp:contentStatus/>
</cp:coreProperties>
</file>